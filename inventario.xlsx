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fedejaramilloo/Downloads/"/>
    </mc:Choice>
  </mc:AlternateContent>
  <xr:revisionPtr revIDLastSave="0" documentId="8_{B0169629-2DFE-3D40-A880-941C681A3225}" xr6:coauthVersionLast="47" xr6:coauthVersionMax="47" xr10:uidLastSave="{00000000-0000-0000-0000-000000000000}"/>
  <bookViews>
    <workbookView xWindow="780" yWindow="1100" windowWidth="27640" windowHeight="15180" xr2:uid="{D6D86922-BBD1-7A49-B316-701A4CA6E0A3}"/>
  </bookViews>
  <sheets>
    <sheet name="Inventario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" i="1" l="1"/>
  <c r="S4" i="1"/>
  <c r="T4" i="1"/>
  <c r="Q5" i="1"/>
  <c r="S5" i="1"/>
  <c r="T5" i="1"/>
  <c r="Q6" i="1"/>
  <c r="S6" i="1"/>
  <c r="T6" i="1"/>
  <c r="Q7" i="1"/>
  <c r="S7" i="1"/>
  <c r="T7" i="1"/>
  <c r="Q8" i="1"/>
  <c r="S8" i="1"/>
  <c r="T8" i="1"/>
  <c r="Q9" i="1"/>
  <c r="S9" i="1"/>
  <c r="T9" i="1"/>
  <c r="S10" i="1"/>
  <c r="T10" i="1"/>
  <c r="S11" i="1"/>
  <c r="T11" i="1"/>
  <c r="S12" i="1"/>
  <c r="T12" i="1"/>
  <c r="S13" i="1"/>
  <c r="T52" i="1"/>
  <c r="C96" i="1"/>
  <c r="D96" i="1"/>
  <c r="E96" i="1"/>
  <c r="F96" i="1"/>
  <c r="G96" i="1"/>
  <c r="H96" i="1"/>
  <c r="I96" i="1"/>
  <c r="J96" i="1"/>
  <c r="D97" i="1"/>
  <c r="F97" i="1"/>
  <c r="G97" i="1"/>
  <c r="H97" i="1"/>
  <c r="I97" i="1"/>
  <c r="J97" i="1"/>
  <c r="K3" i="1"/>
  <c r="S3" i="1" s="1"/>
  <c r="O3" i="1"/>
  <c r="T3" i="1" s="1"/>
  <c r="K5" i="1"/>
  <c r="O5" i="1"/>
  <c r="K7" i="1"/>
  <c r="O7" i="1"/>
  <c r="K9" i="1"/>
  <c r="O9" i="1"/>
  <c r="K11" i="1"/>
  <c r="O11" i="1"/>
  <c r="K13" i="1"/>
  <c r="O13" i="1"/>
  <c r="K15" i="1"/>
  <c r="O15" i="1"/>
  <c r="K17" i="1"/>
  <c r="O17" i="1"/>
  <c r="K19" i="1"/>
  <c r="O19" i="1"/>
  <c r="K21" i="1"/>
  <c r="O21" i="1"/>
  <c r="K23" i="1"/>
  <c r="O23" i="1"/>
  <c r="T13" i="1" s="1"/>
  <c r="K24" i="1"/>
  <c r="S14" i="1" s="1"/>
  <c r="O24" i="1"/>
  <c r="T14" i="1" s="1"/>
  <c r="K26" i="1"/>
  <c r="S15" i="1" s="1"/>
  <c r="O26" i="1"/>
  <c r="T15" i="1" s="1"/>
  <c r="K28" i="1"/>
  <c r="S16" i="1" s="1"/>
  <c r="O28" i="1"/>
  <c r="T16" i="1" s="1"/>
  <c r="K29" i="1"/>
  <c r="S17" i="1" s="1"/>
  <c r="O29" i="1"/>
  <c r="T17" i="1" s="1"/>
  <c r="K31" i="1"/>
  <c r="S18" i="1" s="1"/>
  <c r="O31" i="1"/>
  <c r="T18" i="1" s="1"/>
  <c r="K33" i="1"/>
  <c r="S19" i="1" s="1"/>
  <c r="O33" i="1"/>
  <c r="T19" i="1" s="1"/>
  <c r="K35" i="1"/>
  <c r="S20" i="1" s="1"/>
  <c r="O35" i="1"/>
  <c r="T20" i="1" s="1"/>
  <c r="K36" i="1"/>
  <c r="S21" i="1" s="1"/>
  <c r="O36" i="1"/>
  <c r="T21" i="1" s="1"/>
  <c r="K38" i="1"/>
  <c r="S22" i="1" s="1"/>
  <c r="O38" i="1"/>
  <c r="T22" i="1" s="1"/>
  <c r="K41" i="1"/>
  <c r="S23" i="1" s="1"/>
  <c r="O41" i="1"/>
  <c r="T23" i="1" s="1"/>
  <c r="K44" i="1"/>
  <c r="S24" i="1" s="1"/>
  <c r="O44" i="1"/>
  <c r="T24" i="1" s="1"/>
  <c r="K45" i="1"/>
  <c r="S25" i="1" s="1"/>
  <c r="O45" i="1"/>
  <c r="T25" i="1" s="1"/>
  <c r="K48" i="1"/>
  <c r="S26" i="1" s="1"/>
  <c r="O48" i="1"/>
  <c r="T26" i="1" s="1"/>
  <c r="K51" i="1"/>
  <c r="S27" i="1" s="1"/>
  <c r="O51" i="1"/>
  <c r="T27" i="1" s="1"/>
  <c r="K54" i="1"/>
  <c r="S28" i="1" s="1"/>
  <c r="O54" i="1"/>
  <c r="T28" i="1" s="1"/>
  <c r="K55" i="1"/>
  <c r="S29" i="1" s="1"/>
  <c r="O55" i="1"/>
  <c r="T29" i="1" s="1"/>
  <c r="K57" i="1"/>
  <c r="S30" i="1" s="1"/>
  <c r="O57" i="1"/>
  <c r="T30" i="1" s="1"/>
  <c r="K59" i="1"/>
  <c r="S31" i="1" s="1"/>
  <c r="O59" i="1"/>
  <c r="T31" i="1" s="1"/>
  <c r="K61" i="1"/>
  <c r="S32" i="1" s="1"/>
  <c r="O61" i="1"/>
  <c r="T32" i="1" s="1"/>
  <c r="K62" i="1"/>
  <c r="S33" i="1" s="1"/>
  <c r="O62" i="1"/>
  <c r="T33" i="1" s="1"/>
  <c r="K63" i="1"/>
  <c r="S34" i="1" s="1"/>
  <c r="O63" i="1"/>
  <c r="T34" i="1" s="1"/>
  <c r="K65" i="1"/>
  <c r="S35" i="1" s="1"/>
  <c r="O65" i="1"/>
  <c r="T35" i="1" s="1"/>
  <c r="K67" i="1"/>
  <c r="S36" i="1" s="1"/>
  <c r="O67" i="1"/>
  <c r="T36" i="1" s="1"/>
  <c r="K69" i="1"/>
  <c r="S37" i="1" s="1"/>
  <c r="O69" i="1"/>
  <c r="T37" i="1" s="1"/>
  <c r="K71" i="1"/>
  <c r="S38" i="1" s="1"/>
  <c r="O71" i="1"/>
  <c r="T38" i="1" s="1"/>
  <c r="K73" i="1"/>
  <c r="S39" i="1" s="1"/>
  <c r="O73" i="1"/>
  <c r="T39" i="1" s="1"/>
  <c r="K75" i="1"/>
  <c r="S40" i="1" s="1"/>
  <c r="O75" i="1"/>
  <c r="T40" i="1" s="1"/>
  <c r="K76" i="1"/>
  <c r="S41" i="1" s="1"/>
  <c r="O76" i="1"/>
  <c r="T41" i="1" s="1"/>
  <c r="K77" i="1"/>
  <c r="S42" i="1" s="1"/>
  <c r="O77" i="1"/>
  <c r="T42" i="1" s="1"/>
  <c r="K79" i="1"/>
  <c r="S43" i="1" s="1"/>
  <c r="O79" i="1"/>
  <c r="T43" i="1" s="1"/>
  <c r="K81" i="1"/>
  <c r="S44" i="1" s="1"/>
  <c r="O81" i="1"/>
  <c r="T44" i="1" s="1"/>
  <c r="K82" i="1"/>
  <c r="S45" i="1" s="1"/>
  <c r="O82" i="1"/>
  <c r="T45" i="1" s="1"/>
  <c r="K84" i="1"/>
  <c r="S46" i="1" s="1"/>
  <c r="O84" i="1"/>
  <c r="T46" i="1" s="1"/>
  <c r="K85" i="1"/>
  <c r="S47" i="1" s="1"/>
  <c r="O85" i="1"/>
  <c r="T47" i="1" s="1"/>
  <c r="W85" i="1"/>
  <c r="K87" i="1"/>
  <c r="S48" i="1" s="1"/>
  <c r="O87" i="1"/>
  <c r="T48" i="1" s="1"/>
  <c r="W87" i="1"/>
  <c r="W88" i="1"/>
  <c r="K89" i="1"/>
  <c r="S49" i="1" s="1"/>
  <c r="O89" i="1"/>
  <c r="T49" i="1" s="1"/>
  <c r="K91" i="1"/>
  <c r="S50" i="1" s="1"/>
  <c r="O91" i="1"/>
  <c r="T50" i="1" s="1"/>
  <c r="K94" i="1"/>
  <c r="S51" i="1" s="1"/>
  <c r="O94" i="1"/>
  <c r="T51" i="1" s="1"/>
  <c r="K95" i="1"/>
  <c r="S52" i="1" s="1"/>
  <c r="B109" i="1"/>
  <c r="B110" i="1"/>
  <c r="B111" i="1"/>
  <c r="B112" i="1"/>
  <c r="B113" i="1"/>
  <c r="K96" i="1" l="1"/>
  <c r="L97" i="1" s="1"/>
  <c r="W91" i="1"/>
  <c r="V4" i="1"/>
  <c r="V3" i="1"/>
  <c r="S53" i="1"/>
  <c r="W92" i="1"/>
  <c r="B102" i="1"/>
  <c r="B104" i="1"/>
  <c r="B101" i="1"/>
  <c r="B103" i="1"/>
  <c r="B100" i="1"/>
  <c r="B10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tc={B6462970-ACE2-9849-A51F-020A24679550}</author>
  </authors>
  <commentList>
    <comment ref="I2" authorId="0" shapeId="0" xr:uid="{B6462970-ACE2-9849-A51F-020A24679550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buscar para poner la marca</t>
      </text>
    </comment>
  </commentList>
</comments>
</file>

<file path=xl/sharedStrings.xml><?xml version="1.0" encoding="utf-8"?>
<sst xmlns="http://schemas.openxmlformats.org/spreadsheetml/2006/main" count="244" uniqueCount="188">
  <si>
    <t>01</t>
  </si>
  <si>
    <t>JG</t>
  </si>
  <si>
    <t>Cria JG</t>
  </si>
  <si>
    <t>Total</t>
  </si>
  <si>
    <t>Resumen Inventario</t>
  </si>
  <si>
    <t>Inventario Palmola</t>
  </si>
  <si>
    <t>&gt;530</t>
  </si>
  <si>
    <t>481-530</t>
  </si>
  <si>
    <t>431-480</t>
  </si>
  <si>
    <t>&lt;430</t>
  </si>
  <si>
    <t>sin peso</t>
  </si>
  <si>
    <t>Nro de animales</t>
  </si>
  <si>
    <t>Peso promedio estimado</t>
  </si>
  <si>
    <t>Totales</t>
  </si>
  <si>
    <t>VP2 CM 2</t>
  </si>
  <si>
    <t>Los Tanques</t>
  </si>
  <si>
    <t>Rotación 50</t>
  </si>
  <si>
    <t>HL 1O</t>
  </si>
  <si>
    <t>La Chuspa</t>
  </si>
  <si>
    <t>Rotación 49</t>
  </si>
  <si>
    <t>Guaico</t>
  </si>
  <si>
    <t>La Mesa</t>
  </si>
  <si>
    <t>VP13,CM5,CH6,VH29</t>
  </si>
  <si>
    <t>Pigal</t>
  </si>
  <si>
    <t>Rotación 48</t>
  </si>
  <si>
    <t>Montes Azules 2</t>
  </si>
  <si>
    <t>Bufalos</t>
  </si>
  <si>
    <t>20/08/25</t>
  </si>
  <si>
    <t>4ML  BUEYES</t>
  </si>
  <si>
    <t>Montes Azules 1</t>
  </si>
  <si>
    <t>Rotación 47</t>
  </si>
  <si>
    <t>Hembras 01</t>
  </si>
  <si>
    <t>Monte Verde</t>
  </si>
  <si>
    <t>Macho 01</t>
  </si>
  <si>
    <t>Monte Oscuro</t>
  </si>
  <si>
    <t>Rotación 46</t>
  </si>
  <si>
    <t>Hembras JC</t>
  </si>
  <si>
    <t>Porcelano</t>
  </si>
  <si>
    <t>Macho JC</t>
  </si>
  <si>
    <t>Monte Claro</t>
  </si>
  <si>
    <t>Rotación 45</t>
  </si>
  <si>
    <t>Las Torres</t>
  </si>
  <si>
    <t>Rotación 44</t>
  </si>
  <si>
    <t>Monte Blanco 2</t>
  </si>
  <si>
    <t>El Paraiso</t>
  </si>
  <si>
    <t>Rotación 43</t>
  </si>
  <si>
    <t>La Oculta</t>
  </si>
  <si>
    <t>Rotación 42</t>
  </si>
  <si>
    <t>Las Garsas</t>
  </si>
  <si>
    <t>El 28</t>
  </si>
  <si>
    <t>Rotación 41</t>
  </si>
  <si>
    <t>Peñas</t>
  </si>
  <si>
    <t>Monte Blanco 1</t>
  </si>
  <si>
    <t>Rotación 40</t>
  </si>
  <si>
    <t>14 terneros rojos</t>
  </si>
  <si>
    <t>La Pista</t>
  </si>
  <si>
    <t>Rotación 39</t>
  </si>
  <si>
    <t>San Rafael</t>
  </si>
  <si>
    <t>Rotación 38</t>
  </si>
  <si>
    <t>La Popochera</t>
  </si>
  <si>
    <t>La Vega</t>
  </si>
  <si>
    <t>Rotación 37</t>
  </si>
  <si>
    <t>El Lago</t>
  </si>
  <si>
    <t>El Poso</t>
  </si>
  <si>
    <t>Rotación 36</t>
  </si>
  <si>
    <t>El Puente</t>
  </si>
  <si>
    <t>Agua Linda</t>
  </si>
  <si>
    <t>Rotación 35</t>
  </si>
  <si>
    <t>El Palmar</t>
  </si>
  <si>
    <t>Los Cédros</t>
  </si>
  <si>
    <t>Rotación 34</t>
  </si>
  <si>
    <t>Altícos</t>
  </si>
  <si>
    <t>Pangola 2</t>
  </si>
  <si>
    <t>Rotación 33</t>
  </si>
  <si>
    <t>Los Campanos</t>
  </si>
  <si>
    <t>Pangola 1</t>
  </si>
  <si>
    <t>Rotación 32</t>
  </si>
  <si>
    <t>El 29</t>
  </si>
  <si>
    <t>Rotación 31</t>
  </si>
  <si>
    <t>V6 ML2 HL5</t>
  </si>
  <si>
    <t>La Peña</t>
  </si>
  <si>
    <t>Rotación 30</t>
  </si>
  <si>
    <t>San Francisco</t>
  </si>
  <si>
    <t>Los Corrales</t>
  </si>
  <si>
    <t>Rotación 29</t>
  </si>
  <si>
    <t>El retiro</t>
  </si>
  <si>
    <t>17/09/25</t>
  </si>
  <si>
    <t>El Apure</t>
  </si>
  <si>
    <t>Rotación 28</t>
  </si>
  <si>
    <t>Maracaibo</t>
  </si>
  <si>
    <t>Hoyo Rico</t>
  </si>
  <si>
    <t>Rotación 27</t>
  </si>
  <si>
    <t>Alto Bonito</t>
  </si>
  <si>
    <t>Rotación 26</t>
  </si>
  <si>
    <t>Sabana Larga</t>
  </si>
  <si>
    <t>Palma Sola</t>
  </si>
  <si>
    <t>Esmeralda</t>
  </si>
  <si>
    <t>Rotación 25</t>
  </si>
  <si>
    <t>El Sinú</t>
  </si>
  <si>
    <t>Playas Blancas</t>
  </si>
  <si>
    <t>Las Curces</t>
  </si>
  <si>
    <t>Rotación 24</t>
  </si>
  <si>
    <t>La Correa</t>
  </si>
  <si>
    <t>El 32</t>
  </si>
  <si>
    <t>terneros rojos</t>
  </si>
  <si>
    <t>El 31</t>
  </si>
  <si>
    <t>Rotación 23</t>
  </si>
  <si>
    <t>Papayal</t>
  </si>
  <si>
    <t>Rotación 22</t>
  </si>
  <si>
    <t>Magallanes 2</t>
  </si>
  <si>
    <t>Magallanes 1</t>
  </si>
  <si>
    <t>Andalucia</t>
  </si>
  <si>
    <t>Rotación 21</t>
  </si>
  <si>
    <t>El Algarrobo</t>
  </si>
  <si>
    <t>El 30</t>
  </si>
  <si>
    <t>Mata de Guadua</t>
  </si>
  <si>
    <t>Rotación 20</t>
  </si>
  <si>
    <t>Vallejo 3</t>
  </si>
  <si>
    <t>Vallejo 2</t>
  </si>
  <si>
    <t>Rotación 19</t>
  </si>
  <si>
    <t>Vallejo 1</t>
  </si>
  <si>
    <t>Rotación 18</t>
  </si>
  <si>
    <t>Valle Sol</t>
  </si>
  <si>
    <t>2 llamitas en fronteras</t>
  </si>
  <si>
    <t>Fronteras</t>
  </si>
  <si>
    <t>Rotación 17</t>
  </si>
  <si>
    <t>El Garcero</t>
  </si>
  <si>
    <t>1 toro del pescado</t>
  </si>
  <si>
    <t>El Aceituno</t>
  </si>
  <si>
    <t>Rotación 16</t>
  </si>
  <si>
    <t>La Platanera</t>
  </si>
  <si>
    <t>Pisamal</t>
  </si>
  <si>
    <t>Rotación 15</t>
  </si>
  <si>
    <t>El Jardín</t>
  </si>
  <si>
    <t>Rotación 14</t>
  </si>
  <si>
    <t>El Medio</t>
  </si>
  <si>
    <t>El Riel</t>
  </si>
  <si>
    <t>Rotación 13</t>
  </si>
  <si>
    <t>Iracales 2</t>
  </si>
  <si>
    <t>Iracales 1</t>
  </si>
  <si>
    <t>Rotación 12</t>
  </si>
  <si>
    <t>San Carlos</t>
  </si>
  <si>
    <t>Rotación 11</t>
  </si>
  <si>
    <t>El Perez</t>
  </si>
  <si>
    <t>La V</t>
  </si>
  <si>
    <t>Rotación 10</t>
  </si>
  <si>
    <t>El Respaldo</t>
  </si>
  <si>
    <t>La Secreta</t>
  </si>
  <si>
    <t>Rotación 9</t>
  </si>
  <si>
    <t>Hueco Frio</t>
  </si>
  <si>
    <t>El Balsal</t>
  </si>
  <si>
    <t>Rotación 8</t>
  </si>
  <si>
    <t>Buena Vista</t>
  </si>
  <si>
    <t>Piamonte</t>
  </si>
  <si>
    <t>Rotación 7</t>
  </si>
  <si>
    <t>El Bosque</t>
  </si>
  <si>
    <t>La Posa De Juan</t>
  </si>
  <si>
    <t>Rotación 6</t>
  </si>
  <si>
    <t>Tierra Adentro</t>
  </si>
  <si>
    <t>San Juan</t>
  </si>
  <si>
    <t>Rotación 5</t>
  </si>
  <si>
    <t>Portugal</t>
  </si>
  <si>
    <t>Corcega</t>
  </si>
  <si>
    <t>Rotación 4</t>
  </si>
  <si>
    <t>Grano de Oro</t>
  </si>
  <si>
    <t>El Avinge</t>
  </si>
  <si>
    <t>Rotación 3</t>
  </si>
  <si>
    <t>Versalles</t>
  </si>
  <si>
    <t>Venecia</t>
  </si>
  <si>
    <t>Rotación 2</t>
  </si>
  <si>
    <t>máximo</t>
  </si>
  <si>
    <t>Bolivar 2</t>
  </si>
  <si>
    <t>minimo</t>
  </si>
  <si>
    <t>Rotación 1</t>
  </si>
  <si>
    <t>Bolivar 1</t>
  </si>
  <si>
    <t>peso estimado hoy</t>
  </si>
  <si>
    <t>Nro animales</t>
  </si>
  <si>
    <t>Rotación</t>
  </si>
  <si>
    <t>Peso estimado hoy</t>
  </si>
  <si>
    <t>peso promedio</t>
  </si>
  <si>
    <t>fecha Ultimo Pesaje</t>
  </si>
  <si>
    <t>Observaciones</t>
  </si>
  <si>
    <t>Ganado actual</t>
  </si>
  <si>
    <t>V</t>
  </si>
  <si>
    <t>Levante JG</t>
  </si>
  <si>
    <t>Cria</t>
  </si>
  <si>
    <t>potreros</t>
  </si>
  <si>
    <t>rotación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</si>
</sst>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/m/yy"/>
    <numFmt numFmtId="165" formatCode="dd/mm/yy"/>
    <numFmt numFmtId="166" formatCode="mm/dd/yy"/>
    <numFmt numFmtId="167" formatCode="dd/mm/yyyy"/>
  </numFmts>
  <fonts count="8" x14ac:knownFonts="1">
    <font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1"/>
      <color rgb="FF000000"/>
      <name val="Calibri"/>
      <family val="2"/>
    </font>
    <font>
      <sz val="10"/>
      <name val="Arial"/>
      <family val="2"/>
    </font>
    <font>
      <sz val="11"/>
      <color rgb="FF000000"/>
      <name val="Calibri"/>
      <family val="2"/>
    </font>
    <font>
      <sz val="10"/>
      <color rgb="FFFFFFFF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2" fillId="0" borderId="0" xfId="0" applyFont="1" applyAlignment="1">
      <alignment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49" fontId="4" fillId="0" borderId="1" xfId="0" applyNumberFormat="1" applyFont="1" applyBorder="1" applyAlignment="1">
      <alignment horizontal="center" vertical="center" wrapText="1"/>
    </xf>
    <xf numFmtId="0" fontId="5" fillId="0" borderId="2" xfId="0" applyFont="1" applyBorder="1"/>
    <xf numFmtId="0" fontId="4" fillId="0" borderId="3" xfId="0" applyFont="1" applyBorder="1" applyAlignment="1">
      <alignment horizontal="center" vertical="center" wrapText="1"/>
    </xf>
    <xf numFmtId="0" fontId="3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4" xfId="0" applyFont="1" applyBorder="1" applyAlignment="1">
      <alignment horizontal="center" wrapText="1"/>
    </xf>
    <xf numFmtId="0" fontId="6" fillId="0" borderId="5" xfId="0" applyFont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wrapText="1"/>
    </xf>
    <xf numFmtId="0" fontId="6" fillId="2" borderId="5" xfId="0" applyFont="1" applyFill="1" applyBorder="1" applyAlignment="1">
      <alignment horizontal="center"/>
    </xf>
    <xf numFmtId="0" fontId="5" fillId="0" borderId="5" xfId="0" applyFont="1" applyBorder="1"/>
    <xf numFmtId="0" fontId="7" fillId="0" borderId="0" xfId="0" applyFont="1"/>
    <xf numFmtId="0" fontId="5" fillId="0" borderId="6" xfId="0" applyFont="1" applyBorder="1"/>
    <xf numFmtId="1" fontId="6" fillId="0" borderId="6" xfId="0" applyNumberFormat="1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6" xfId="0" applyFont="1" applyBorder="1" applyAlignment="1">
      <alignment horizontal="center" wrapText="1"/>
    </xf>
    <xf numFmtId="1" fontId="6" fillId="2" borderId="6" xfId="0" applyNumberFormat="1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 wrapText="1"/>
    </xf>
    <xf numFmtId="164" fontId="6" fillId="0" borderId="6" xfId="0" applyNumberFormat="1" applyFont="1" applyBorder="1" applyAlignment="1">
      <alignment horizontal="center"/>
    </xf>
    <xf numFmtId="164" fontId="6" fillId="2" borderId="6" xfId="0" applyNumberFormat="1" applyFont="1" applyFill="1" applyBorder="1" applyAlignment="1">
      <alignment horizontal="center"/>
    </xf>
    <xf numFmtId="0" fontId="6" fillId="2" borderId="7" xfId="0" applyFont="1" applyFill="1" applyBorder="1" applyAlignment="1">
      <alignment horizontal="center"/>
    </xf>
    <xf numFmtId="1" fontId="6" fillId="3" borderId="4" xfId="0" applyNumberFormat="1" applyFont="1" applyFill="1" applyBorder="1" applyAlignment="1">
      <alignment horizontal="center"/>
    </xf>
    <xf numFmtId="164" fontId="6" fillId="0" borderId="4" xfId="0" applyNumberFormat="1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165" fontId="6" fillId="2" borderId="6" xfId="0" applyNumberFormat="1" applyFont="1" applyFill="1" applyBorder="1" applyAlignment="1">
      <alignment horizontal="center"/>
    </xf>
    <xf numFmtId="1" fontId="6" fillId="2" borderId="4" xfId="0" applyNumberFormat="1" applyFont="1" applyFill="1" applyBorder="1" applyAlignment="1">
      <alignment horizontal="center"/>
    </xf>
    <xf numFmtId="165" fontId="6" fillId="0" borderId="4" xfId="0" applyNumberFormat="1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165" fontId="6" fillId="2" borderId="4" xfId="0" applyNumberFormat="1" applyFont="1" applyFill="1" applyBorder="1" applyAlignment="1">
      <alignment horizontal="center"/>
    </xf>
    <xf numFmtId="0" fontId="6" fillId="2" borderId="9" xfId="0" applyFont="1" applyFill="1" applyBorder="1" applyAlignment="1">
      <alignment horizontal="center"/>
    </xf>
    <xf numFmtId="166" fontId="6" fillId="2" borderId="4" xfId="0" applyNumberFormat="1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1" fontId="6" fillId="0" borderId="4" xfId="0" applyNumberFormat="1" applyFont="1" applyBorder="1" applyAlignment="1">
      <alignment horizontal="center"/>
    </xf>
    <xf numFmtId="0" fontId="2" fillId="0" borderId="0" xfId="0" applyFont="1"/>
    <xf numFmtId="0" fontId="5" fillId="0" borderId="4" xfId="0" applyFont="1" applyBorder="1"/>
    <xf numFmtId="0" fontId="5" fillId="0" borderId="8" xfId="0" applyFont="1" applyBorder="1"/>
    <xf numFmtId="1" fontId="6" fillId="2" borderId="8" xfId="0" applyNumberFormat="1" applyFont="1" applyFill="1" applyBorder="1" applyAlignment="1">
      <alignment horizontal="center"/>
    </xf>
    <xf numFmtId="1" fontId="2" fillId="0" borderId="0" xfId="0" applyNumberFormat="1" applyFont="1"/>
    <xf numFmtId="1" fontId="6" fillId="3" borderId="8" xfId="0" applyNumberFormat="1" applyFont="1" applyFill="1" applyBorder="1" applyAlignment="1">
      <alignment horizontal="center"/>
    </xf>
    <xf numFmtId="165" fontId="6" fillId="0" borderId="6" xfId="0" applyNumberFormat="1" applyFont="1" applyBorder="1" applyAlignment="1">
      <alignment horizontal="center"/>
    </xf>
    <xf numFmtId="166" fontId="6" fillId="2" borderId="6" xfId="0" applyNumberFormat="1" applyFont="1" applyFill="1" applyBorder="1" applyAlignment="1">
      <alignment horizontal="center"/>
    </xf>
    <xf numFmtId="164" fontId="6" fillId="2" borderId="4" xfId="0" applyNumberFormat="1" applyFont="1" applyFill="1" applyBorder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1" fillId="0" borderId="1" xfId="0" applyFont="1" applyBorder="1"/>
    <xf numFmtId="49" fontId="4" fillId="0" borderId="2" xfId="0" applyNumberFormat="1" applyFont="1" applyBorder="1" applyAlignment="1">
      <alignment horizontal="center" vertical="center" wrapText="1"/>
    </xf>
    <xf numFmtId="167" fontId="6" fillId="0" borderId="0" xfId="0" applyNumberFormat="1" applyFont="1" applyAlignment="1">
      <alignment horizontal="center" wrapText="1"/>
    </xf>
    <xf numFmtId="0" fontId="0" fillId="0" borderId="0" xfId="0"/>
    <xf numFmtId="0" fontId="6" fillId="0" borderId="0" xfId="0" applyFont="1" applyAlignment="1">
      <alignment horizontal="right" wrapText="1"/>
    </xf>
  </cellXfs>
  <cellStyles count="1">
    <cellStyle name="Normal" xfId="0" builtinId="0"/>
  </cellStyles>
  <dxfs count="14">
    <dxf>
      <font>
        <b/>
      </font>
      <fill>
        <patternFill patternType="solid">
          <fgColor rgb="FFB6D7A8"/>
          <bgColor rgb="FFB6D7A8"/>
        </patternFill>
      </fill>
    </dxf>
    <dxf>
      <font>
        <b/>
      </font>
      <fill>
        <patternFill patternType="solid">
          <fgColor rgb="FFB7E1CD"/>
          <bgColor rgb="FFB7E1CD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34A853"/>
          <bgColor rgb="FF34A853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34A853"/>
          <bgColor rgb="FF34A853"/>
        </patternFill>
      </fill>
    </dxf>
    <dxf>
      <font>
        <b/>
      </font>
      <fill>
        <patternFill patternType="solid">
          <fgColor rgb="FFEA4335"/>
          <bgColor rgb="FFEA4335"/>
        </patternFill>
      </fill>
    </dxf>
    <dxf>
      <font>
        <b/>
      </font>
      <fill>
        <patternFill patternType="solid">
          <fgColor rgb="FF34A853"/>
          <bgColor rgb="FF34A853"/>
        </patternFill>
      </fill>
    </dxf>
    <dxf>
      <font>
        <b/>
      </font>
      <fill>
        <patternFill patternType="solid">
          <fgColor rgb="FF34A853"/>
          <bgColor rgb="FF34A853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b/>
      </font>
      <fill>
        <patternFill patternType="solid">
          <fgColor rgb="FF34A853"/>
          <bgColor rgb="FF34A853"/>
        </patternFill>
      </fill>
    </dxf>
    <dxf>
      <font>
        <b/>
      </font>
      <fill>
        <patternFill patternType="solid">
          <fgColor theme="5"/>
          <bgColor theme="5"/>
        </patternFill>
      </fill>
    </dxf>
    <dxf>
      <font>
        <b/>
      </font>
      <fill>
        <patternFill patternType="solid">
          <fgColor rgb="FFEA4335"/>
          <bgColor rgb="FFEA4335"/>
        </patternFill>
      </fill>
    </dxf>
    <dxf>
      <font>
        <b/>
      </font>
      <fill>
        <patternFill patternType="solid">
          <fgColor rgb="FF34A853"/>
          <bgColor rgb="FF34A85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609600</xdr:colOff>
      <xdr:row>0</xdr:row>
      <xdr:rowOff>219075</xdr:rowOff>
    </xdr:from>
    <xdr:ext cx="542925" cy="38100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DE734C77-7FA0-2248-9D76-3C2B6A67475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366000" y="168275"/>
          <a:ext cx="542925" cy="3810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111</xdr:row>
      <xdr:rowOff>19050</xdr:rowOff>
    </xdr:from>
    <xdr:ext cx="542925" cy="381000"/>
    <xdr:pic>
      <xdr:nvPicPr>
        <xdr:cNvPr id="3" name="image1.png" title="Imagen">
          <a:extLst>
            <a:ext uri="{FF2B5EF4-FFF2-40B4-BE49-F238E27FC236}">
              <a16:creationId xmlns:a16="http://schemas.microsoft.com/office/drawing/2014/main" id="{61189402-DCDB-EB42-917E-5530AD86C9A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5725" y="18345150"/>
          <a:ext cx="542925" cy="381000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fedejaramilloo/Downloads/Inventario%20Palmola.xlsx" TargetMode="External"/><Relationship Id="rId1" Type="http://schemas.openxmlformats.org/officeDocument/2006/relationships/externalLinkPath" Target="Inventario%20Palmol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lmola"/>
      <sheetName val="JG"/>
      <sheetName val="Cria JG"/>
      <sheetName val="01"/>
      <sheetName val="V"/>
      <sheetName val="Pescado"/>
      <sheetName val="96"/>
      <sheetName val="Movimiento"/>
    </sheetNames>
    <sheetDataSet>
      <sheetData sheetId="0" refreshError="1"/>
      <sheetData sheetId="1">
        <row r="230">
          <cell r="D230">
            <v>687</v>
          </cell>
        </row>
      </sheetData>
      <sheetData sheetId="2">
        <row r="229">
          <cell r="D229">
            <v>97</v>
          </cell>
        </row>
      </sheetData>
      <sheetData sheetId="3">
        <row r="230">
          <cell r="D230">
            <v>306</v>
          </cell>
        </row>
      </sheetData>
      <sheetData sheetId="4">
        <row r="230">
          <cell r="D230">
            <v>14</v>
          </cell>
        </row>
      </sheetData>
      <sheetData sheetId="5">
        <row r="230">
          <cell r="D230">
            <v>2</v>
          </cell>
        </row>
      </sheetData>
      <sheetData sheetId="6">
        <row r="231">
          <cell r="D231">
            <v>9</v>
          </cell>
        </row>
      </sheetData>
      <sheetData sheetId="7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Federico Jaramillo O" id="{991AF7C0-9C21-D64A-8482-A40F565E75B4}" userId="" providerId="google-sheets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2" dT="2025-01-06T16:21:20.00" personId="{991AF7C0-9C21-D64A-8482-A40F565E75B4}" id="{B6462970-ACE2-9849-A51F-020A24679550}" done="1">
    <text>buscar para poner la marca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E9266-53A4-AE4A-9B3A-44FD3B8EA0AA}">
  <sheetPr>
    <outlinePr summaryBelow="0" summaryRight="0"/>
  </sheetPr>
  <dimension ref="A1:W1000"/>
  <sheetViews>
    <sheetView tabSelected="1" workbookViewId="0">
      <pane xSplit="2" ySplit="2" topLeftCell="C81" activePane="bottomRight" state="frozen"/>
      <selection pane="topRight" activeCell="C1" sqref="C1"/>
      <selection pane="bottomLeft" activeCell="A3" sqref="A3"/>
      <selection pane="bottomRight" activeCell="N99" sqref="N99"/>
    </sheetView>
  </sheetViews>
  <sheetFormatPr baseColWidth="10" defaultColWidth="12.6640625" defaultRowHeight="15.75" customHeight="1" x14ac:dyDescent="0.15"/>
  <cols>
    <col min="1" max="1" width="9.6640625" customWidth="1"/>
    <col min="2" max="2" width="16.6640625" customWidth="1"/>
    <col min="3" max="3" width="9.83203125" customWidth="1"/>
    <col min="4" max="11" width="8" customWidth="1"/>
    <col min="12" max="12" width="15.83203125" customWidth="1"/>
  </cols>
  <sheetData>
    <row r="1" spans="1:23" ht="15" x14ac:dyDescent="0.2">
      <c r="A1" s="60"/>
      <c r="B1" s="59"/>
      <c r="C1" s="58">
        <v>45716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"/>
      <c r="Q1" s="1"/>
      <c r="R1" s="1"/>
      <c r="S1" s="1"/>
      <c r="T1" s="1"/>
      <c r="U1" s="1"/>
      <c r="V1" s="1"/>
      <c r="W1" s="1"/>
    </row>
    <row r="2" spans="1:23" ht="32" x14ac:dyDescent="0.15">
      <c r="A2" s="3" t="s">
        <v>187</v>
      </c>
      <c r="B2" s="55" t="s">
        <v>186</v>
      </c>
      <c r="C2" s="55" t="s">
        <v>26</v>
      </c>
      <c r="D2" s="55" t="s">
        <v>185</v>
      </c>
      <c r="E2" s="55" t="s">
        <v>184</v>
      </c>
      <c r="F2" s="55" t="s">
        <v>1</v>
      </c>
      <c r="G2" s="57" t="s">
        <v>183</v>
      </c>
      <c r="H2" s="57" t="s">
        <v>0</v>
      </c>
      <c r="I2" s="56"/>
      <c r="J2" s="55">
        <v>96</v>
      </c>
      <c r="K2" s="55" t="s">
        <v>182</v>
      </c>
      <c r="L2" s="55" t="s">
        <v>181</v>
      </c>
      <c r="M2" s="55" t="s">
        <v>180</v>
      </c>
      <c r="N2" s="55" t="s">
        <v>179</v>
      </c>
      <c r="O2" s="55" t="s">
        <v>178</v>
      </c>
      <c r="P2" s="1"/>
      <c r="Q2" s="1"/>
      <c r="R2" s="54" t="s">
        <v>177</v>
      </c>
      <c r="S2" s="54" t="s">
        <v>176</v>
      </c>
      <c r="T2" s="54" t="s">
        <v>175</v>
      </c>
      <c r="U2" s="1"/>
      <c r="V2" s="1"/>
      <c r="W2" s="1"/>
    </row>
    <row r="3" spans="1:23" ht="15" x14ac:dyDescent="0.2">
      <c r="A3" s="28" t="s">
        <v>173</v>
      </c>
      <c r="B3" s="18" t="s">
        <v>174</v>
      </c>
      <c r="C3" s="28"/>
      <c r="D3" s="28"/>
      <c r="E3" s="28"/>
      <c r="F3" s="28">
        <v>28</v>
      </c>
      <c r="G3" s="28"/>
      <c r="H3" s="28"/>
      <c r="I3" s="28"/>
      <c r="J3" s="28"/>
      <c r="K3" s="28">
        <f>SUM(C3:J4)</f>
        <v>28</v>
      </c>
      <c r="L3" s="29"/>
      <c r="M3" s="36">
        <v>46065</v>
      </c>
      <c r="N3" s="28">
        <v>419</v>
      </c>
      <c r="O3" s="27">
        <f ca="1">IF(N3=0,"",((11.5/30)*(DAYS360(M3,TODAY())))+N3)</f>
        <v>432.8</v>
      </c>
      <c r="R3" s="45" t="s">
        <v>173</v>
      </c>
      <c r="S3" s="45">
        <f>K3</f>
        <v>28</v>
      </c>
      <c r="T3" s="49">
        <f ca="1">O3</f>
        <v>432.8</v>
      </c>
      <c r="U3" s="45" t="s">
        <v>172</v>
      </c>
      <c r="V3" s="49">
        <f ca="1">MIN(T3:T52)</f>
        <v>0</v>
      </c>
    </row>
    <row r="4" spans="1:23" ht="15" x14ac:dyDescent="0.2">
      <c r="A4" s="21"/>
      <c r="B4" s="18" t="s">
        <v>171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Q4" s="45">
        <f>[1]JG!D230</f>
        <v>687</v>
      </c>
      <c r="R4" s="45" t="s">
        <v>169</v>
      </c>
      <c r="S4" s="45">
        <f>K5</f>
        <v>25</v>
      </c>
      <c r="T4" s="49">
        <f ca="1">O5</f>
        <v>536.61666666666667</v>
      </c>
      <c r="U4" s="45" t="s">
        <v>170</v>
      </c>
      <c r="V4" s="49">
        <f ca="1">MAX(T3:T52)</f>
        <v>575.06666666666661</v>
      </c>
    </row>
    <row r="5" spans="1:23" ht="15" x14ac:dyDescent="0.2">
      <c r="A5" s="25" t="s">
        <v>169</v>
      </c>
      <c r="B5" s="15" t="s">
        <v>168</v>
      </c>
      <c r="C5" s="25"/>
      <c r="D5" s="25"/>
      <c r="E5" s="25"/>
      <c r="F5" s="25">
        <v>25</v>
      </c>
      <c r="G5" s="25"/>
      <c r="H5" s="25"/>
      <c r="I5" s="25"/>
      <c r="J5" s="25"/>
      <c r="K5" s="25">
        <f>SUM(C5:J6)</f>
        <v>25</v>
      </c>
      <c r="L5" s="26"/>
      <c r="M5" s="51">
        <v>45980</v>
      </c>
      <c r="N5" s="25">
        <v>491</v>
      </c>
      <c r="O5" s="24">
        <f ca="1">IF(N5=0,"",((11.5/30)*(DAYS360(M5,TODAY())))+N5)</f>
        <v>536.61666666666667</v>
      </c>
      <c r="Q5" s="45">
        <f>'[1]01'!D230</f>
        <v>306</v>
      </c>
      <c r="R5" s="45" t="s">
        <v>166</v>
      </c>
      <c r="S5" s="45">
        <f>K7</f>
        <v>21</v>
      </c>
      <c r="T5" s="49">
        <f ca="1">O7</f>
        <v>425.68333333333334</v>
      </c>
    </row>
    <row r="6" spans="1:23" ht="15" x14ac:dyDescent="0.2">
      <c r="A6" s="21"/>
      <c r="B6" s="15" t="s">
        <v>167</v>
      </c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Q6" s="45">
        <f>[1]Pescado!D230</f>
        <v>2</v>
      </c>
      <c r="R6" s="45" t="s">
        <v>163</v>
      </c>
      <c r="S6" s="45">
        <f>K9</f>
        <v>27</v>
      </c>
      <c r="T6" s="49">
        <f ca="1">O9</f>
        <v>466.61666666666667</v>
      </c>
    </row>
    <row r="7" spans="1:23" ht="15" x14ac:dyDescent="0.2">
      <c r="A7" s="28" t="s">
        <v>166</v>
      </c>
      <c r="B7" s="18" t="s">
        <v>165</v>
      </c>
      <c r="C7" s="28"/>
      <c r="D7" s="28"/>
      <c r="E7" s="28"/>
      <c r="F7" s="28">
        <v>21</v>
      </c>
      <c r="G7" s="28"/>
      <c r="H7" s="28"/>
      <c r="I7" s="28"/>
      <c r="J7" s="28"/>
      <c r="K7" s="28">
        <f>SUM(C7:J8)</f>
        <v>21</v>
      </c>
      <c r="L7" s="29"/>
      <c r="M7" s="36">
        <v>45972</v>
      </c>
      <c r="N7" s="28">
        <v>377</v>
      </c>
      <c r="O7" s="27">
        <f ca="1">IF(N7=0,"",((11.5/30)*(DAYS360(M7,TODAY())))+N7)</f>
        <v>425.68333333333334</v>
      </c>
      <c r="Q7" s="45">
        <f>'[1]96'!D231</f>
        <v>9</v>
      </c>
      <c r="R7" s="45" t="s">
        <v>160</v>
      </c>
      <c r="S7" s="45">
        <f>K11</f>
        <v>23</v>
      </c>
      <c r="T7" s="49">
        <f ca="1">O11</f>
        <v>483.61666666666667</v>
      </c>
    </row>
    <row r="8" spans="1:23" ht="15" x14ac:dyDescent="0.2">
      <c r="A8" s="21"/>
      <c r="B8" s="18" t="s">
        <v>164</v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Q8" s="45">
        <f>'[1]Cria JG'!D229</f>
        <v>97</v>
      </c>
      <c r="R8" s="45" t="s">
        <v>157</v>
      </c>
      <c r="S8" s="45">
        <f>K13</f>
        <v>23</v>
      </c>
      <c r="T8" s="49">
        <f ca="1">O13</f>
        <v>468.61666666666667</v>
      </c>
    </row>
    <row r="9" spans="1:23" ht="15" x14ac:dyDescent="0.2">
      <c r="A9" s="25" t="s">
        <v>163</v>
      </c>
      <c r="B9" s="15" t="s">
        <v>162</v>
      </c>
      <c r="C9" s="25"/>
      <c r="D9" s="25"/>
      <c r="E9" s="25"/>
      <c r="F9" s="25"/>
      <c r="G9" s="25"/>
      <c r="H9" s="25">
        <v>27</v>
      </c>
      <c r="I9" s="25"/>
      <c r="J9" s="25"/>
      <c r="K9" s="25">
        <f>SUM(C9:J10)</f>
        <v>27</v>
      </c>
      <c r="L9" s="26"/>
      <c r="M9" s="30">
        <v>45980</v>
      </c>
      <c r="N9" s="25">
        <v>421</v>
      </c>
      <c r="O9" s="24">
        <f ca="1">IF(N9=0,"",((11.5/30)*(DAYS360(M9,TODAY())))+N9)</f>
        <v>466.61666666666667</v>
      </c>
      <c r="Q9" s="45">
        <f>[1]V!D230</f>
        <v>14</v>
      </c>
      <c r="R9" s="45" t="s">
        <v>154</v>
      </c>
      <c r="S9" s="45">
        <f>K15</f>
        <v>15</v>
      </c>
      <c r="T9" s="49">
        <f ca="1">O15</f>
        <v>525.76666666666665</v>
      </c>
    </row>
    <row r="10" spans="1:23" ht="15" x14ac:dyDescent="0.2">
      <c r="A10" s="21"/>
      <c r="B10" s="15" t="s">
        <v>161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R10" s="45" t="s">
        <v>151</v>
      </c>
      <c r="S10" s="45">
        <f>K17</f>
        <v>22</v>
      </c>
      <c r="T10" s="49">
        <f ca="1">O17</f>
        <v>493.4666666666667</v>
      </c>
    </row>
    <row r="11" spans="1:23" ht="15" x14ac:dyDescent="0.2">
      <c r="A11" s="28" t="s">
        <v>160</v>
      </c>
      <c r="B11" s="18" t="s">
        <v>159</v>
      </c>
      <c r="C11" s="28"/>
      <c r="D11" s="28"/>
      <c r="E11" s="28"/>
      <c r="F11" s="28">
        <v>23</v>
      </c>
      <c r="G11" s="28"/>
      <c r="H11" s="28"/>
      <c r="I11" s="28"/>
      <c r="J11" s="28"/>
      <c r="K11" s="28">
        <f>SUM(C11:J12)</f>
        <v>23</v>
      </c>
      <c r="L11" s="29"/>
      <c r="M11" s="31">
        <v>45980</v>
      </c>
      <c r="N11" s="28">
        <v>438</v>
      </c>
      <c r="O11" s="27">
        <f ca="1">IF(N11=0,"",((11.5/30)*(DAYS360(M11,TODAY())))+N11)</f>
        <v>483.61666666666667</v>
      </c>
      <c r="R11" s="45" t="s">
        <v>148</v>
      </c>
      <c r="S11" s="45">
        <f>K19</f>
        <v>28</v>
      </c>
      <c r="T11" s="49">
        <f ca="1">O19</f>
        <v>560.08333333333337</v>
      </c>
    </row>
    <row r="12" spans="1:23" ht="15" x14ac:dyDescent="0.2">
      <c r="A12" s="21"/>
      <c r="B12" s="18" t="s">
        <v>158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R12" s="45" t="s">
        <v>145</v>
      </c>
      <c r="S12" s="45">
        <f>K21</f>
        <v>36</v>
      </c>
      <c r="T12" s="49">
        <f ca="1">O21</f>
        <v>391.8</v>
      </c>
    </row>
    <row r="13" spans="1:23" ht="15" x14ac:dyDescent="0.2">
      <c r="A13" s="25" t="s">
        <v>157</v>
      </c>
      <c r="B13" s="15" t="s">
        <v>156</v>
      </c>
      <c r="C13" s="25"/>
      <c r="D13" s="25"/>
      <c r="E13" s="25"/>
      <c r="F13" s="25">
        <v>23</v>
      </c>
      <c r="G13" s="25"/>
      <c r="H13" s="25"/>
      <c r="I13" s="25"/>
      <c r="J13" s="25"/>
      <c r="K13" s="25">
        <f>SUM(C13:J14)</f>
        <v>23</v>
      </c>
      <c r="L13" s="26"/>
      <c r="M13" s="30">
        <v>45980</v>
      </c>
      <c r="N13" s="25">
        <v>423</v>
      </c>
      <c r="O13" s="24">
        <f ca="1">IF(N13=0,"",((11.5/30)*(DAYS360(M13,TODAY())))+N13)</f>
        <v>468.61666666666667</v>
      </c>
      <c r="R13" s="45" t="s">
        <v>142</v>
      </c>
      <c r="S13" s="45">
        <f>K23</f>
        <v>0</v>
      </c>
      <c r="T13" s="49">
        <f ca="1">O23</f>
        <v>494.85</v>
      </c>
    </row>
    <row r="14" spans="1:23" ht="15" x14ac:dyDescent="0.2">
      <c r="A14" s="21"/>
      <c r="B14" s="15" t="s">
        <v>155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R14" s="45" t="s">
        <v>140</v>
      </c>
      <c r="S14" s="45">
        <f>K24</f>
        <v>27</v>
      </c>
      <c r="T14" s="49">
        <f ca="1">O24</f>
        <v>571.85</v>
      </c>
    </row>
    <row r="15" spans="1:23" ht="15" x14ac:dyDescent="0.2">
      <c r="A15" s="28" t="s">
        <v>154</v>
      </c>
      <c r="B15" s="18" t="s">
        <v>153</v>
      </c>
      <c r="C15" s="28"/>
      <c r="D15" s="28"/>
      <c r="E15" s="28"/>
      <c r="F15" s="28"/>
      <c r="G15" s="28"/>
      <c r="H15" s="28">
        <v>15</v>
      </c>
      <c r="I15" s="28"/>
      <c r="J15" s="28"/>
      <c r="K15" s="28">
        <f>SUM(C15:J16)</f>
        <v>15</v>
      </c>
      <c r="L15" s="29"/>
      <c r="M15" s="36">
        <v>45793</v>
      </c>
      <c r="N15" s="28">
        <v>410</v>
      </c>
      <c r="O15" s="27">
        <f ca="1">IF(N15=0,"",((11.5/30)*(DAYS360(M15,TODAY())))+N15)</f>
        <v>525.76666666666665</v>
      </c>
      <c r="R15" s="45" t="s">
        <v>137</v>
      </c>
      <c r="S15" s="45">
        <f>K26</f>
        <v>16</v>
      </c>
      <c r="T15" s="49">
        <f ca="1">O26</f>
        <v>566.54999999999995</v>
      </c>
    </row>
    <row r="16" spans="1:23" ht="15" x14ac:dyDescent="0.2">
      <c r="A16" s="21"/>
      <c r="B16" s="18" t="s">
        <v>152</v>
      </c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R16" s="45" t="s">
        <v>134</v>
      </c>
      <c r="S16" s="45">
        <f>K28</f>
        <v>4</v>
      </c>
      <c r="T16" s="49">
        <f ca="1">O28</f>
        <v>462.01666666666665</v>
      </c>
    </row>
    <row r="17" spans="1:20" ht="15" x14ac:dyDescent="0.2">
      <c r="A17" s="25" t="s">
        <v>151</v>
      </c>
      <c r="B17" s="15" t="s">
        <v>150</v>
      </c>
      <c r="C17" s="25"/>
      <c r="D17" s="25"/>
      <c r="E17" s="25"/>
      <c r="F17" s="25">
        <v>22</v>
      </c>
      <c r="G17" s="25"/>
      <c r="H17" s="25"/>
      <c r="I17" s="25"/>
      <c r="J17" s="25"/>
      <c r="K17" s="25">
        <f>SUM(C17:J18)</f>
        <v>22</v>
      </c>
      <c r="L17" s="26"/>
      <c r="M17" s="30">
        <v>45983</v>
      </c>
      <c r="N17" s="25">
        <v>449</v>
      </c>
      <c r="O17" s="24">
        <f ca="1">IF(N17=0,"",((11.5/30)*(DAYS360(M17,TODAY())))+N17)</f>
        <v>493.4666666666667</v>
      </c>
      <c r="R17" s="45" t="s">
        <v>132</v>
      </c>
      <c r="S17" s="45">
        <f>K29</f>
        <v>18</v>
      </c>
      <c r="T17" s="49">
        <f ca="1">O29</f>
        <v>447.73333333333335</v>
      </c>
    </row>
    <row r="18" spans="1:20" ht="15" x14ac:dyDescent="0.2">
      <c r="A18" s="21"/>
      <c r="B18" s="15" t="s">
        <v>149</v>
      </c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R18" s="45" t="s">
        <v>129</v>
      </c>
      <c r="S18" s="45">
        <f>K31</f>
        <v>19</v>
      </c>
      <c r="T18" s="49">
        <f ca="1">O31</f>
        <v>416.05</v>
      </c>
    </row>
    <row r="19" spans="1:20" ht="15" x14ac:dyDescent="0.2">
      <c r="A19" s="28" t="s">
        <v>148</v>
      </c>
      <c r="B19" s="18" t="s">
        <v>147</v>
      </c>
      <c r="C19" s="28"/>
      <c r="D19" s="28"/>
      <c r="E19" s="28"/>
      <c r="F19" s="28">
        <v>28</v>
      </c>
      <c r="G19" s="28"/>
      <c r="H19" s="28"/>
      <c r="I19" s="28"/>
      <c r="J19" s="28"/>
      <c r="K19" s="28">
        <f>SUM(C19:J20)</f>
        <v>28</v>
      </c>
      <c r="L19" s="29"/>
      <c r="M19" s="31">
        <v>45984</v>
      </c>
      <c r="N19" s="28">
        <v>516</v>
      </c>
      <c r="O19" s="27">
        <f ca="1">IF(N19=0,"",((11.5/30)*(DAYS360(M19,TODAY())))+N19)</f>
        <v>560.08333333333337</v>
      </c>
      <c r="R19" s="45" t="s">
        <v>125</v>
      </c>
      <c r="S19" s="45">
        <f>K33</f>
        <v>26</v>
      </c>
      <c r="T19" s="49">
        <f ca="1">O33</f>
        <v>506.15</v>
      </c>
    </row>
    <row r="20" spans="1:20" ht="15" x14ac:dyDescent="0.2">
      <c r="A20" s="21"/>
      <c r="B20" s="18" t="s">
        <v>146</v>
      </c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R20" s="45" t="s">
        <v>121</v>
      </c>
      <c r="S20" s="45">
        <f>K35</f>
        <v>0</v>
      </c>
      <c r="T20" s="49" t="str">
        <f ca="1">O35</f>
        <v/>
      </c>
    </row>
    <row r="21" spans="1:20" ht="15" x14ac:dyDescent="0.2">
      <c r="A21" s="25" t="s">
        <v>145</v>
      </c>
      <c r="B21" s="15" t="s">
        <v>144</v>
      </c>
      <c r="C21" s="25"/>
      <c r="D21" s="25"/>
      <c r="E21" s="25"/>
      <c r="F21" s="25">
        <v>36</v>
      </c>
      <c r="G21" s="25"/>
      <c r="H21" s="25"/>
      <c r="I21" s="25"/>
      <c r="J21" s="25"/>
      <c r="K21" s="25">
        <f>SUM(C21:J22)</f>
        <v>36</v>
      </c>
      <c r="L21" s="26"/>
      <c r="M21" s="30">
        <v>46065</v>
      </c>
      <c r="N21" s="25">
        <v>378</v>
      </c>
      <c r="O21" s="24">
        <f ca="1">IF(N21=0,"",((11.5/30)*(DAYS360(M21,TODAY())))+N21)</f>
        <v>391.8</v>
      </c>
      <c r="R21" s="45" t="s">
        <v>119</v>
      </c>
      <c r="S21" s="45">
        <f>K36</f>
        <v>22</v>
      </c>
      <c r="T21" s="49">
        <f ca="1">O36</f>
        <v>462.61666666666667</v>
      </c>
    </row>
    <row r="22" spans="1:20" ht="15" x14ac:dyDescent="0.2">
      <c r="A22" s="21"/>
      <c r="B22" s="15" t="s">
        <v>143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R22" s="45" t="s">
        <v>116</v>
      </c>
      <c r="S22" s="45">
        <f>K38</f>
        <v>36</v>
      </c>
      <c r="T22" s="49">
        <f ca="1">O38</f>
        <v>532.18333333333339</v>
      </c>
    </row>
    <row r="23" spans="1:20" ht="15" x14ac:dyDescent="0.2">
      <c r="A23" s="20" t="s">
        <v>142</v>
      </c>
      <c r="B23" s="18" t="s">
        <v>141</v>
      </c>
      <c r="C23" s="18"/>
      <c r="D23" s="18"/>
      <c r="E23" s="18"/>
      <c r="F23" s="18"/>
      <c r="G23" s="18"/>
      <c r="H23" s="18"/>
      <c r="I23" s="18"/>
      <c r="J23" s="18"/>
      <c r="K23" s="18">
        <f>SUM(C23:J23)</f>
        <v>0</v>
      </c>
      <c r="L23" s="19"/>
      <c r="M23" s="53">
        <v>45798</v>
      </c>
      <c r="N23" s="18">
        <v>381</v>
      </c>
      <c r="O23" s="37">
        <f ca="1">IF(N23=0,"",((11.5/30)*(DAYS360(M23,TODAY())))+N23)</f>
        <v>494.85</v>
      </c>
      <c r="R23" s="45" t="s">
        <v>112</v>
      </c>
      <c r="S23" s="45">
        <f>K41</f>
        <v>1</v>
      </c>
      <c r="T23" s="49" t="str">
        <f ca="1">O41</f>
        <v/>
      </c>
    </row>
    <row r="24" spans="1:20" ht="15" x14ac:dyDescent="0.2">
      <c r="A24" s="25" t="s">
        <v>140</v>
      </c>
      <c r="B24" s="15" t="s">
        <v>139</v>
      </c>
      <c r="C24" s="25"/>
      <c r="D24" s="25"/>
      <c r="E24" s="25"/>
      <c r="F24" s="25">
        <v>27</v>
      </c>
      <c r="G24" s="25"/>
      <c r="H24" s="25"/>
      <c r="I24" s="25"/>
      <c r="J24" s="25"/>
      <c r="K24" s="25">
        <f>SUM(C24:J25)</f>
        <v>27</v>
      </c>
      <c r="L24" s="26"/>
      <c r="M24" s="30">
        <v>45804</v>
      </c>
      <c r="N24" s="25">
        <v>470</v>
      </c>
      <c r="O24" s="24">
        <f ca="1">IF(N24=0,"",((10.5/30)*(DAYS360(M24,TODAY())))+N24)</f>
        <v>571.85</v>
      </c>
      <c r="R24" s="45" t="s">
        <v>108</v>
      </c>
      <c r="S24" s="45">
        <f>K44</f>
        <v>0</v>
      </c>
      <c r="T24" s="45" t="str">
        <f ca="1">O44</f>
        <v/>
      </c>
    </row>
    <row r="25" spans="1:20" ht="15" x14ac:dyDescent="0.2">
      <c r="A25" s="21"/>
      <c r="B25" s="15" t="s">
        <v>138</v>
      </c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R25" s="45" t="s">
        <v>106</v>
      </c>
      <c r="S25" s="45">
        <f>K45</f>
        <v>54</v>
      </c>
      <c r="T25" s="49">
        <f ca="1">O45</f>
        <v>312.85000000000002</v>
      </c>
    </row>
    <row r="26" spans="1:20" ht="15" x14ac:dyDescent="0.2">
      <c r="A26" s="28" t="s">
        <v>137</v>
      </c>
      <c r="B26" s="18" t="s">
        <v>136</v>
      </c>
      <c r="C26" s="28"/>
      <c r="D26" s="28"/>
      <c r="E26" s="28"/>
      <c r="F26" s="28">
        <v>16</v>
      </c>
      <c r="G26" s="28"/>
      <c r="H26" s="28"/>
      <c r="I26" s="28"/>
      <c r="J26" s="28"/>
      <c r="K26" s="28">
        <f>SUM(C26:J27)</f>
        <v>16</v>
      </c>
      <c r="L26" s="29"/>
      <c r="M26" s="52">
        <v>45804</v>
      </c>
      <c r="N26" s="28">
        <v>455</v>
      </c>
      <c r="O26" s="27">
        <f ca="1">IF(N26=0,"",((11.5/30)*(DAYS360(M26,TODAY())))+N26)</f>
        <v>566.54999999999995</v>
      </c>
      <c r="R26" s="45" t="s">
        <v>101</v>
      </c>
      <c r="S26" s="45">
        <f>K48</f>
        <v>113</v>
      </c>
      <c r="T26" s="49" t="str">
        <f ca="1">O48</f>
        <v/>
      </c>
    </row>
    <row r="27" spans="1:20" ht="15" x14ac:dyDescent="0.2">
      <c r="A27" s="21"/>
      <c r="B27" s="18" t="s">
        <v>135</v>
      </c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R27" s="45" t="s">
        <v>97</v>
      </c>
      <c r="S27" s="45">
        <f>K51</f>
        <v>86</v>
      </c>
      <c r="T27" s="49" t="str">
        <f ca="1">O51</f>
        <v/>
      </c>
    </row>
    <row r="28" spans="1:20" ht="15" x14ac:dyDescent="0.2">
      <c r="A28" s="17" t="s">
        <v>134</v>
      </c>
      <c r="B28" s="15" t="s">
        <v>133</v>
      </c>
      <c r="C28" s="15"/>
      <c r="D28" s="15"/>
      <c r="E28" s="15"/>
      <c r="F28" s="15"/>
      <c r="G28" s="15"/>
      <c r="H28" s="15">
        <v>4</v>
      </c>
      <c r="I28" s="15"/>
      <c r="J28" s="15"/>
      <c r="K28" s="15">
        <f>SUM(C28:J28)</f>
        <v>4</v>
      </c>
      <c r="L28" s="16"/>
      <c r="M28" s="38">
        <v>45931</v>
      </c>
      <c r="N28" s="15">
        <v>398</v>
      </c>
      <c r="O28" s="33">
        <f ca="1">IF(N28=0,"",((11.5/30)*(DAYS360(M28,TODAY())))+N28)</f>
        <v>462.01666666666665</v>
      </c>
      <c r="R28" s="45" t="s">
        <v>93</v>
      </c>
      <c r="S28" s="45">
        <f>K54</f>
        <v>13</v>
      </c>
      <c r="T28" s="49">
        <f ca="1">O54</f>
        <v>516.85</v>
      </c>
    </row>
    <row r="29" spans="1:20" ht="15" x14ac:dyDescent="0.2">
      <c r="A29" s="28" t="s">
        <v>132</v>
      </c>
      <c r="B29" s="18" t="s">
        <v>131</v>
      </c>
      <c r="C29" s="28"/>
      <c r="D29" s="28"/>
      <c r="E29" s="28"/>
      <c r="F29" s="28"/>
      <c r="G29" s="28"/>
      <c r="H29" s="28">
        <v>18</v>
      </c>
      <c r="I29" s="28"/>
      <c r="J29" s="28"/>
      <c r="K29" s="28">
        <f>SUM(C29:J30)</f>
        <v>18</v>
      </c>
      <c r="L29" s="29"/>
      <c r="M29" s="28" t="s">
        <v>27</v>
      </c>
      <c r="N29" s="28">
        <v>368</v>
      </c>
      <c r="O29" s="27">
        <f ca="1">IF(N29=0,"",((11.5/30)*(DAYS360(M29,TODAY())))+N29)</f>
        <v>447.73333333333335</v>
      </c>
      <c r="R29" s="45" t="s">
        <v>91</v>
      </c>
      <c r="S29" s="45">
        <f>K55</f>
        <v>25</v>
      </c>
      <c r="T29" s="49">
        <f ca="1">O55</f>
        <v>404.2</v>
      </c>
    </row>
    <row r="30" spans="1:20" ht="15" x14ac:dyDescent="0.2">
      <c r="A30" s="21"/>
      <c r="B30" s="18" t="s">
        <v>130</v>
      </c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R30" s="45" t="s">
        <v>88</v>
      </c>
      <c r="S30" s="45">
        <f>K57</f>
        <v>20</v>
      </c>
      <c r="T30" s="49">
        <f ca="1">O57</f>
        <v>473.38333333333333</v>
      </c>
    </row>
    <row r="31" spans="1:20" ht="15" x14ac:dyDescent="0.2">
      <c r="A31" s="25" t="s">
        <v>129</v>
      </c>
      <c r="B31" s="15" t="s">
        <v>128</v>
      </c>
      <c r="C31" s="25"/>
      <c r="D31" s="25"/>
      <c r="E31" s="25"/>
      <c r="F31" s="25"/>
      <c r="G31" s="25"/>
      <c r="H31" s="25">
        <v>18</v>
      </c>
      <c r="I31" s="25">
        <v>1</v>
      </c>
      <c r="J31" s="25"/>
      <c r="K31" s="25">
        <f>SUM(C31:J32)</f>
        <v>19</v>
      </c>
      <c r="L31" s="26" t="s">
        <v>127</v>
      </c>
      <c r="M31" s="30">
        <v>46018</v>
      </c>
      <c r="N31" s="25">
        <v>385</v>
      </c>
      <c r="O31" s="24">
        <f ca="1">IF(N31=0,"",((11.5/30)*(DAYS360(M31,TODAY())))+N31)</f>
        <v>416.05</v>
      </c>
      <c r="R31" s="45" t="s">
        <v>84</v>
      </c>
      <c r="S31" s="45">
        <f>K59</f>
        <v>30</v>
      </c>
      <c r="T31" s="49">
        <f ca="1">O59</f>
        <v>454.83333333333331</v>
      </c>
    </row>
    <row r="32" spans="1:20" ht="15" x14ac:dyDescent="0.2">
      <c r="A32" s="21"/>
      <c r="B32" s="15" t="s">
        <v>126</v>
      </c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R32" s="45" t="s">
        <v>81</v>
      </c>
      <c r="S32" s="45">
        <f>K61</f>
        <v>17</v>
      </c>
      <c r="T32" s="45" t="str">
        <f ca="1">O61</f>
        <v/>
      </c>
    </row>
    <row r="33" spans="1:20" ht="15" x14ac:dyDescent="0.2">
      <c r="A33" s="28" t="s">
        <v>125</v>
      </c>
      <c r="B33" s="18" t="s">
        <v>124</v>
      </c>
      <c r="C33" s="28"/>
      <c r="D33" s="28">
        <v>4</v>
      </c>
      <c r="E33" s="28"/>
      <c r="F33" s="28"/>
      <c r="G33" s="28"/>
      <c r="H33" s="28">
        <v>20</v>
      </c>
      <c r="I33" s="28"/>
      <c r="J33" s="28">
        <v>2</v>
      </c>
      <c r="K33" s="28">
        <f>SUM(C33:J34)</f>
        <v>26</v>
      </c>
      <c r="L33" s="29" t="s">
        <v>123</v>
      </c>
      <c r="M33" s="36">
        <v>46037</v>
      </c>
      <c r="N33" s="28">
        <v>482</v>
      </c>
      <c r="O33" s="27">
        <f ca="1">IF(N33=0,"",((11.5/30)*(DAYS360(M33,TODAY())))+N33)</f>
        <v>506.15</v>
      </c>
      <c r="R33" s="45" t="s">
        <v>78</v>
      </c>
      <c r="S33" s="45">
        <f>K62</f>
        <v>16</v>
      </c>
      <c r="T33" s="49">
        <f ca="1">O62</f>
        <v>514.18333333333339</v>
      </c>
    </row>
    <row r="34" spans="1:20" ht="15" x14ac:dyDescent="0.2">
      <c r="A34" s="21"/>
      <c r="B34" s="18" t="s">
        <v>122</v>
      </c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R34" s="45" t="s">
        <v>76</v>
      </c>
      <c r="S34" s="45">
        <f>K63</f>
        <v>14</v>
      </c>
      <c r="T34" s="49">
        <f ca="1">O63</f>
        <v>497.31666666666666</v>
      </c>
    </row>
    <row r="35" spans="1:20" ht="15" x14ac:dyDescent="0.2">
      <c r="A35" s="17" t="s">
        <v>121</v>
      </c>
      <c r="B35" s="15" t="s">
        <v>120</v>
      </c>
      <c r="C35" s="15"/>
      <c r="D35" s="15"/>
      <c r="E35" s="15"/>
      <c r="F35" s="15"/>
      <c r="G35" s="15"/>
      <c r="H35" s="15"/>
      <c r="I35" s="15"/>
      <c r="J35" s="15"/>
      <c r="K35" s="15">
        <f>SUM(C35:J35)</f>
        <v>0</v>
      </c>
      <c r="L35" s="16"/>
      <c r="M35" s="38"/>
      <c r="N35" s="15"/>
      <c r="O35" s="37" t="str">
        <f ca="1">IF(N35=0,"",((11.5/30)*(DAYS360(M35,TODAY())))+N35)</f>
        <v/>
      </c>
      <c r="R35" s="45" t="s">
        <v>73</v>
      </c>
      <c r="S35" s="45">
        <f>K65</f>
        <v>22</v>
      </c>
      <c r="T35" s="49">
        <f ca="1">O65</f>
        <v>467.68333333333334</v>
      </c>
    </row>
    <row r="36" spans="1:20" ht="15" x14ac:dyDescent="0.2">
      <c r="A36" s="28" t="s">
        <v>119</v>
      </c>
      <c r="B36" s="18" t="s">
        <v>118</v>
      </c>
      <c r="C36" s="28"/>
      <c r="D36" s="28"/>
      <c r="E36" s="28"/>
      <c r="F36" s="28">
        <v>22</v>
      </c>
      <c r="G36" s="28"/>
      <c r="H36" s="28"/>
      <c r="I36" s="28"/>
      <c r="J36" s="28"/>
      <c r="K36" s="28">
        <f>SUM(C36:J37)</f>
        <v>22</v>
      </c>
      <c r="L36" s="29"/>
      <c r="M36" s="36">
        <v>45980</v>
      </c>
      <c r="N36" s="28">
        <v>417</v>
      </c>
      <c r="O36" s="27">
        <f ca="1">IF(N36=0,"",((11.5/30)*(DAYS360(M36,TODAY())))+N36)</f>
        <v>462.61666666666667</v>
      </c>
      <c r="R36" s="45" t="s">
        <v>70</v>
      </c>
      <c r="S36" s="45">
        <f>K67</f>
        <v>23</v>
      </c>
      <c r="T36" s="49">
        <f ca="1">O67</f>
        <v>479.73333333333335</v>
      </c>
    </row>
    <row r="37" spans="1:20" ht="15" x14ac:dyDescent="0.2">
      <c r="A37" s="21"/>
      <c r="B37" s="18" t="s">
        <v>117</v>
      </c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R37" s="45" t="s">
        <v>67</v>
      </c>
      <c r="S37" s="45">
        <f>K69</f>
        <v>30</v>
      </c>
      <c r="T37" s="49">
        <f ca="1">O69</f>
        <v>369.2</v>
      </c>
    </row>
    <row r="38" spans="1:20" ht="15" x14ac:dyDescent="0.2">
      <c r="A38" s="25" t="s">
        <v>116</v>
      </c>
      <c r="B38" s="15" t="s">
        <v>115</v>
      </c>
      <c r="C38" s="25"/>
      <c r="D38" s="25"/>
      <c r="E38" s="25"/>
      <c r="F38" s="25">
        <v>36</v>
      </c>
      <c r="G38" s="25"/>
      <c r="H38" s="25"/>
      <c r="I38" s="25"/>
      <c r="J38" s="25"/>
      <c r="K38" s="25">
        <f>SUM(D38:J40)</f>
        <v>36</v>
      </c>
      <c r="L38" s="26"/>
      <c r="M38" s="51">
        <v>45819</v>
      </c>
      <c r="N38" s="25">
        <v>426</v>
      </c>
      <c r="O38" s="50">
        <f ca="1">IF(N38=0,"",((11.5/30)*(DAYS360(M38,TODAY())))+N38)</f>
        <v>532.18333333333339</v>
      </c>
      <c r="R38" s="45" t="s">
        <v>64</v>
      </c>
      <c r="S38" s="45">
        <f>K71</f>
        <v>20</v>
      </c>
      <c r="T38" s="49">
        <f ca="1">O71</f>
        <v>442.05</v>
      </c>
    </row>
    <row r="39" spans="1:20" ht="15" x14ac:dyDescent="0.2">
      <c r="A39" s="23"/>
      <c r="B39" s="15" t="s">
        <v>114</v>
      </c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47"/>
      <c r="R39" s="45" t="s">
        <v>61</v>
      </c>
      <c r="S39" s="45">
        <f>K73</f>
        <v>19</v>
      </c>
      <c r="T39" s="49">
        <f ca="1">O73</f>
        <v>410.8</v>
      </c>
    </row>
    <row r="40" spans="1:20" ht="15" x14ac:dyDescent="0.2">
      <c r="A40" s="21"/>
      <c r="B40" s="15" t="s">
        <v>113</v>
      </c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46"/>
      <c r="R40" s="45" t="s">
        <v>58</v>
      </c>
      <c r="S40" s="45">
        <f>K75</f>
        <v>0</v>
      </c>
      <c r="T40" s="49" t="str">
        <f ca="1">O75</f>
        <v/>
      </c>
    </row>
    <row r="41" spans="1:20" ht="15" x14ac:dyDescent="0.2">
      <c r="A41" s="28" t="s">
        <v>112</v>
      </c>
      <c r="B41" s="18" t="s">
        <v>111</v>
      </c>
      <c r="C41" s="28"/>
      <c r="D41" s="28"/>
      <c r="E41" s="28">
        <v>1</v>
      </c>
      <c r="F41" s="28"/>
      <c r="G41" s="28"/>
      <c r="H41" s="28"/>
      <c r="I41" s="28"/>
      <c r="J41" s="28"/>
      <c r="K41" s="28">
        <f>SUM(D41:J43)</f>
        <v>1</v>
      </c>
      <c r="L41" s="29"/>
      <c r="M41" s="28"/>
      <c r="N41" s="28"/>
      <c r="O41" s="48" t="str">
        <f ca="1">IF(N41=0,"",((11.5/30)*(DAYS360(M41,TODAY())))+N41)</f>
        <v/>
      </c>
      <c r="R41" s="45" t="s">
        <v>56</v>
      </c>
      <c r="S41" s="45">
        <f>K76</f>
        <v>25</v>
      </c>
      <c r="T41" s="49">
        <f ca="1">O76</f>
        <v>283.31666666666666</v>
      </c>
    </row>
    <row r="42" spans="1:20" ht="15" x14ac:dyDescent="0.2">
      <c r="A42" s="23"/>
      <c r="B42" s="18" t="s">
        <v>110</v>
      </c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47"/>
      <c r="R42" s="45" t="s">
        <v>53</v>
      </c>
      <c r="S42" s="45">
        <f>K77</f>
        <v>2</v>
      </c>
      <c r="T42" s="49">
        <f ca="1">O77</f>
        <v>575.06666666666661</v>
      </c>
    </row>
    <row r="43" spans="1:20" ht="15" x14ac:dyDescent="0.2">
      <c r="A43" s="21"/>
      <c r="B43" s="18" t="s">
        <v>109</v>
      </c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46"/>
      <c r="R43" s="45" t="s">
        <v>50</v>
      </c>
      <c r="S43" s="45">
        <f>K79</f>
        <v>23</v>
      </c>
      <c r="T43" s="49">
        <f ca="1">O79</f>
        <v>428.83333333333331</v>
      </c>
    </row>
    <row r="44" spans="1:20" ht="15" x14ac:dyDescent="0.2">
      <c r="A44" s="17" t="s">
        <v>108</v>
      </c>
      <c r="B44" s="15" t="s">
        <v>107</v>
      </c>
      <c r="C44" s="15"/>
      <c r="D44" s="15"/>
      <c r="E44" s="15"/>
      <c r="F44" s="15"/>
      <c r="G44" s="15"/>
      <c r="H44" s="15"/>
      <c r="I44" s="15"/>
      <c r="J44" s="15"/>
      <c r="K44" s="15">
        <f>SUM(C44:J44)</f>
        <v>0</v>
      </c>
      <c r="L44" s="16"/>
      <c r="M44" s="15"/>
      <c r="N44" s="15"/>
      <c r="O44" s="43" t="str">
        <f ca="1">IF(N44=0,"",((11.5/30)*(DAYS360(M44,TODAY())))+N44)</f>
        <v/>
      </c>
      <c r="R44" s="45" t="s">
        <v>47</v>
      </c>
      <c r="S44" s="45">
        <f>K81</f>
        <v>6</v>
      </c>
      <c r="T44" s="49">
        <f ca="1">O81</f>
        <v>495.85</v>
      </c>
    </row>
    <row r="45" spans="1:20" ht="15" x14ac:dyDescent="0.2">
      <c r="A45" s="28" t="s">
        <v>106</v>
      </c>
      <c r="B45" s="18" t="s">
        <v>105</v>
      </c>
      <c r="C45" s="28"/>
      <c r="D45" s="28"/>
      <c r="E45" s="28">
        <v>54</v>
      </c>
      <c r="F45" s="28"/>
      <c r="G45" s="28"/>
      <c r="H45" s="28"/>
      <c r="I45" s="28"/>
      <c r="J45" s="28"/>
      <c r="K45" s="28">
        <f>SUM(D45:J47)</f>
        <v>54</v>
      </c>
      <c r="L45" s="29" t="s">
        <v>104</v>
      </c>
      <c r="M45" s="31">
        <v>45982</v>
      </c>
      <c r="N45" s="28">
        <v>268</v>
      </c>
      <c r="O45" s="48">
        <f ca="1">IF(N45=0,"",((11.5/30)*(DAYS360(M45,TODAY())))+N45)</f>
        <v>312.85000000000002</v>
      </c>
      <c r="R45" s="45" t="s">
        <v>45</v>
      </c>
      <c r="S45" s="45">
        <f>K82</f>
        <v>22</v>
      </c>
      <c r="T45" s="49">
        <f ca="1">O82</f>
        <v>494.15</v>
      </c>
    </row>
    <row r="46" spans="1:20" ht="15" x14ac:dyDescent="0.2">
      <c r="A46" s="23"/>
      <c r="B46" s="18" t="s">
        <v>103</v>
      </c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47"/>
      <c r="R46" s="45" t="s">
        <v>42</v>
      </c>
      <c r="S46" s="45">
        <f>K84</f>
        <v>12</v>
      </c>
      <c r="T46" s="49">
        <f ca="1">O84</f>
        <v>499.28333333333336</v>
      </c>
    </row>
    <row r="47" spans="1:20" ht="15" x14ac:dyDescent="0.2">
      <c r="A47" s="21"/>
      <c r="B47" s="18" t="s">
        <v>102</v>
      </c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46"/>
      <c r="R47" s="45" t="s">
        <v>40</v>
      </c>
      <c r="S47" s="45">
        <f>K85</f>
        <v>28</v>
      </c>
      <c r="T47" s="49">
        <f ca="1">O85</f>
        <v>433.83333333333331</v>
      </c>
    </row>
    <row r="48" spans="1:20" ht="15" x14ac:dyDescent="0.2">
      <c r="A48" s="25" t="s">
        <v>101</v>
      </c>
      <c r="B48" s="15" t="s">
        <v>100</v>
      </c>
      <c r="C48" s="25"/>
      <c r="D48" s="25"/>
      <c r="E48" s="25">
        <v>113</v>
      </c>
      <c r="F48" s="25"/>
      <c r="G48" s="25"/>
      <c r="H48" s="25"/>
      <c r="I48" s="25"/>
      <c r="J48" s="25"/>
      <c r="K48" s="25">
        <f>SUM(D48:J50)</f>
        <v>113</v>
      </c>
      <c r="L48" s="26"/>
      <c r="M48" s="25"/>
      <c r="N48" s="25"/>
      <c r="O48" s="50" t="str">
        <f ca="1">IF(N48=0,"",((11.5/30)*(DAYS360(M48,TODAY())))+N48)</f>
        <v/>
      </c>
      <c r="R48" s="45" t="s">
        <v>35</v>
      </c>
      <c r="S48" s="45">
        <f>K87</f>
        <v>16</v>
      </c>
      <c r="T48" s="49">
        <f ca="1">O87</f>
        <v>353.2</v>
      </c>
    </row>
    <row r="49" spans="1:20" ht="15" x14ac:dyDescent="0.2">
      <c r="A49" s="23"/>
      <c r="B49" s="15" t="s">
        <v>99</v>
      </c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47"/>
      <c r="R49" s="45" t="s">
        <v>30</v>
      </c>
      <c r="S49" s="45">
        <f>K89</f>
        <v>13</v>
      </c>
      <c r="T49" s="49">
        <f ca="1">O89</f>
        <v>441.73333333333335</v>
      </c>
    </row>
    <row r="50" spans="1:20" ht="15" x14ac:dyDescent="0.2">
      <c r="A50" s="21"/>
      <c r="B50" s="15" t="s">
        <v>98</v>
      </c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46"/>
      <c r="R50" s="45" t="s">
        <v>24</v>
      </c>
      <c r="S50" s="45">
        <f>K91</f>
        <v>54</v>
      </c>
      <c r="T50" s="49" t="str">
        <f ca="1">O91</f>
        <v/>
      </c>
    </row>
    <row r="51" spans="1:20" ht="15" x14ac:dyDescent="0.2">
      <c r="A51" s="28" t="s">
        <v>97</v>
      </c>
      <c r="B51" s="18" t="s">
        <v>96</v>
      </c>
      <c r="C51" s="28"/>
      <c r="D51" s="28"/>
      <c r="E51" s="28"/>
      <c r="F51" s="28"/>
      <c r="G51" s="28"/>
      <c r="H51" s="28">
        <v>86</v>
      </c>
      <c r="I51" s="28"/>
      <c r="J51" s="28"/>
      <c r="K51" s="28">
        <f>SUM(D51:J53)</f>
        <v>86</v>
      </c>
      <c r="L51" s="29"/>
      <c r="M51" s="28"/>
      <c r="N51" s="28"/>
      <c r="O51" s="48" t="str">
        <f ca="1">IF(N51=0,"",((11.5/30)*(DAYS360(M51,TODAY())))+N51)</f>
        <v/>
      </c>
      <c r="R51" s="45" t="s">
        <v>19</v>
      </c>
      <c r="S51" s="45">
        <f>K94</f>
        <v>10</v>
      </c>
      <c r="T51" s="45" t="str">
        <f ca="1">O94</f>
        <v/>
      </c>
    </row>
    <row r="52" spans="1:20" ht="15" x14ac:dyDescent="0.2">
      <c r="A52" s="23"/>
      <c r="B52" s="18" t="s">
        <v>95</v>
      </c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47"/>
      <c r="R52" s="45" t="s">
        <v>16</v>
      </c>
      <c r="S52" s="45">
        <f>K95</f>
        <v>26</v>
      </c>
      <c r="T52" s="45">
        <f>O95</f>
        <v>0</v>
      </c>
    </row>
    <row r="53" spans="1:20" ht="15" x14ac:dyDescent="0.2">
      <c r="A53" s="21"/>
      <c r="B53" s="18" t="s">
        <v>94</v>
      </c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46"/>
      <c r="S53" s="45">
        <f>SUM(S3:S52)</f>
        <v>1156</v>
      </c>
    </row>
    <row r="54" spans="1:20" ht="15" x14ac:dyDescent="0.2">
      <c r="A54" s="17" t="s">
        <v>93</v>
      </c>
      <c r="B54" s="15" t="s">
        <v>92</v>
      </c>
      <c r="C54" s="15"/>
      <c r="D54" s="15"/>
      <c r="E54" s="35"/>
      <c r="F54" s="15">
        <v>13</v>
      </c>
      <c r="G54" s="15"/>
      <c r="H54" s="15"/>
      <c r="I54" s="15"/>
      <c r="J54" s="15"/>
      <c r="K54" s="15">
        <f>SUM(C54:J54)</f>
        <v>13</v>
      </c>
      <c r="L54" s="16"/>
      <c r="M54" s="38">
        <v>45798</v>
      </c>
      <c r="N54" s="15">
        <v>403</v>
      </c>
      <c r="O54" s="44">
        <f ca="1">IF(N54="","",((11.5/30)*(DAYS360(M54,TODAY())))+N54)</f>
        <v>516.85</v>
      </c>
    </row>
    <row r="55" spans="1:20" ht="15" x14ac:dyDescent="0.2">
      <c r="A55" s="28" t="s">
        <v>91</v>
      </c>
      <c r="B55" s="18" t="s">
        <v>90</v>
      </c>
      <c r="C55" s="28"/>
      <c r="D55" s="28"/>
      <c r="E55" s="32"/>
      <c r="F55" s="28">
        <v>17</v>
      </c>
      <c r="G55" s="28"/>
      <c r="H55" s="28">
        <v>8</v>
      </c>
      <c r="I55" s="28"/>
      <c r="J55" s="28"/>
      <c r="K55" s="28">
        <f>SUM(C55:J56)</f>
        <v>25</v>
      </c>
      <c r="L55" s="29"/>
      <c r="M55" s="36">
        <v>46077</v>
      </c>
      <c r="N55" s="28">
        <v>395</v>
      </c>
      <c r="O55" s="27">
        <f ca="1">IF(N55="","",((11.5/30)*(DAYS360(M55,TODAY())))+N55)</f>
        <v>404.2</v>
      </c>
    </row>
    <row r="56" spans="1:20" ht="15" x14ac:dyDescent="0.2">
      <c r="A56" s="21"/>
      <c r="B56" s="18" t="s">
        <v>89</v>
      </c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</row>
    <row r="57" spans="1:20" ht="15" x14ac:dyDescent="0.2">
      <c r="A57" s="25" t="s">
        <v>88</v>
      </c>
      <c r="B57" s="15" t="s">
        <v>87</v>
      </c>
      <c r="C57" s="25"/>
      <c r="D57" s="25"/>
      <c r="E57" s="25"/>
      <c r="F57" s="25">
        <v>20</v>
      </c>
      <c r="G57" s="25"/>
      <c r="H57" s="25"/>
      <c r="I57" s="25"/>
      <c r="J57" s="25"/>
      <c r="K57" s="25">
        <f>SUM(C57:J58)</f>
        <v>20</v>
      </c>
      <c r="L57" s="26"/>
      <c r="M57" s="25" t="s">
        <v>86</v>
      </c>
      <c r="N57" s="25">
        <v>404</v>
      </c>
      <c r="O57" s="24">
        <f ca="1">IF(N57="","",((11.5/30)*(DAYS360(M57,TODAY())))+N57)</f>
        <v>473.38333333333333</v>
      </c>
    </row>
    <row r="58" spans="1:20" ht="15" x14ac:dyDescent="0.2">
      <c r="A58" s="21"/>
      <c r="B58" s="15" t="s">
        <v>85</v>
      </c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</row>
    <row r="59" spans="1:20" ht="15" x14ac:dyDescent="0.2">
      <c r="A59" s="28" t="s">
        <v>84</v>
      </c>
      <c r="B59" s="18" t="s">
        <v>83</v>
      </c>
      <c r="C59" s="28"/>
      <c r="D59" s="28"/>
      <c r="E59" s="28"/>
      <c r="F59" s="28">
        <v>30</v>
      </c>
      <c r="G59" s="28"/>
      <c r="H59" s="28"/>
      <c r="I59" s="28"/>
      <c r="J59" s="28"/>
      <c r="K59" s="28">
        <f>SUM(C59:J60)</f>
        <v>30</v>
      </c>
      <c r="L59" s="29"/>
      <c r="M59" s="36">
        <v>45969</v>
      </c>
      <c r="N59" s="28">
        <v>405</v>
      </c>
      <c r="O59" s="27">
        <f ca="1">IF(N59="","",((11.5/30)*(DAYS360(M59,TODAY())))+N59)</f>
        <v>454.83333333333331</v>
      </c>
    </row>
    <row r="60" spans="1:20" ht="15" x14ac:dyDescent="0.2">
      <c r="A60" s="21"/>
      <c r="B60" s="18" t="s">
        <v>82</v>
      </c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</row>
    <row r="61" spans="1:20" ht="16" x14ac:dyDescent="0.2">
      <c r="A61" s="17" t="s">
        <v>81</v>
      </c>
      <c r="B61" s="15" t="s">
        <v>80</v>
      </c>
      <c r="C61" s="15">
        <v>17</v>
      </c>
      <c r="D61" s="15"/>
      <c r="E61" s="35"/>
      <c r="F61" s="15"/>
      <c r="G61" s="15"/>
      <c r="H61" s="15"/>
      <c r="I61" s="15"/>
      <c r="J61" s="15"/>
      <c r="K61" s="15">
        <f>SUM(C61:J61)</f>
        <v>17</v>
      </c>
      <c r="L61" s="16" t="s">
        <v>79</v>
      </c>
      <c r="M61" s="15"/>
      <c r="N61" s="15"/>
      <c r="O61" s="43" t="str">
        <f ca="1">IF(N61="","",((11.5/30)*(DAYS360(M61,TODAY())))+N61)</f>
        <v/>
      </c>
    </row>
    <row r="62" spans="1:20" ht="15" x14ac:dyDescent="0.2">
      <c r="A62" s="20" t="s">
        <v>78</v>
      </c>
      <c r="B62" s="18" t="s">
        <v>77</v>
      </c>
      <c r="C62" s="18"/>
      <c r="D62" s="18"/>
      <c r="E62" s="41"/>
      <c r="F62" s="18">
        <v>16</v>
      </c>
      <c r="G62" s="18"/>
      <c r="H62" s="18"/>
      <c r="I62" s="18"/>
      <c r="J62" s="18"/>
      <c r="K62" s="18">
        <f>SUM(C62:J62)</f>
        <v>16</v>
      </c>
      <c r="L62" s="19"/>
      <c r="M62" s="42">
        <v>45819</v>
      </c>
      <c r="N62" s="18">
        <v>408</v>
      </c>
      <c r="O62" s="37">
        <f ca="1">IF(N62="","",((11.5/30)*(DAYS360(M62,TODAY())))+N62)</f>
        <v>514.18333333333339</v>
      </c>
    </row>
    <row r="63" spans="1:20" ht="15" x14ac:dyDescent="0.2">
      <c r="A63" s="25" t="s">
        <v>76</v>
      </c>
      <c r="B63" s="15" t="s">
        <v>75</v>
      </c>
      <c r="C63" s="25"/>
      <c r="D63" s="25"/>
      <c r="E63" s="39"/>
      <c r="F63" s="25">
        <v>14</v>
      </c>
      <c r="G63" s="25"/>
      <c r="H63" s="25"/>
      <c r="I63" s="25"/>
      <c r="J63" s="25"/>
      <c r="K63" s="25">
        <f>SUM(C63:J64)</f>
        <v>14</v>
      </c>
      <c r="L63" s="26"/>
      <c r="M63" s="30">
        <v>45986</v>
      </c>
      <c r="N63" s="25">
        <v>454</v>
      </c>
      <c r="O63" s="24">
        <f ca="1">IF(N63="","",((11.5/30)*(DAYS360(M63,TODAY())))+N63)</f>
        <v>497.31666666666666</v>
      </c>
    </row>
    <row r="64" spans="1:20" ht="15" x14ac:dyDescent="0.2">
      <c r="A64" s="21"/>
      <c r="B64" s="15" t="s">
        <v>74</v>
      </c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</row>
    <row r="65" spans="1:15" ht="15" x14ac:dyDescent="0.2">
      <c r="A65" s="28" t="s">
        <v>73</v>
      </c>
      <c r="B65" s="18" t="s">
        <v>72</v>
      </c>
      <c r="C65" s="28"/>
      <c r="D65" s="28"/>
      <c r="E65" s="28"/>
      <c r="F65" s="28"/>
      <c r="G65" s="28"/>
      <c r="H65" s="28">
        <v>22</v>
      </c>
      <c r="I65" s="28"/>
      <c r="J65" s="28"/>
      <c r="K65" s="28">
        <f>SUM(C65:J66)</f>
        <v>22</v>
      </c>
      <c r="L65" s="29"/>
      <c r="M65" s="31">
        <v>45911</v>
      </c>
      <c r="N65" s="28">
        <v>396</v>
      </c>
      <c r="O65" s="27">
        <f ca="1">IF(N65="","",((11.5/30)*(DAYS360(M65,TODAY())))+N65)</f>
        <v>467.68333333333334</v>
      </c>
    </row>
    <row r="66" spans="1:15" ht="15" x14ac:dyDescent="0.2">
      <c r="A66" s="21"/>
      <c r="B66" s="18" t="s">
        <v>71</v>
      </c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</row>
    <row r="67" spans="1:15" ht="15" x14ac:dyDescent="0.2">
      <c r="A67" s="25" t="s">
        <v>70</v>
      </c>
      <c r="B67" s="15" t="s">
        <v>69</v>
      </c>
      <c r="C67" s="25"/>
      <c r="D67" s="25"/>
      <c r="E67" s="25"/>
      <c r="F67" s="25"/>
      <c r="G67" s="25"/>
      <c r="H67" s="25">
        <v>20</v>
      </c>
      <c r="I67" s="25"/>
      <c r="J67" s="25">
        <v>3</v>
      </c>
      <c r="K67" s="25">
        <f>SUM(C67:J68)</f>
        <v>23</v>
      </c>
      <c r="L67" s="26"/>
      <c r="M67" s="25" t="s">
        <v>27</v>
      </c>
      <c r="N67" s="25">
        <v>400</v>
      </c>
      <c r="O67" s="24">
        <f ca="1">IF(N67="","",((11.5/30)*(DAYS360(M67,TODAY())))+N67)</f>
        <v>479.73333333333335</v>
      </c>
    </row>
    <row r="68" spans="1:15" ht="15" x14ac:dyDescent="0.2">
      <c r="A68" s="21"/>
      <c r="B68" s="15" t="s">
        <v>68</v>
      </c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</row>
    <row r="69" spans="1:15" ht="15" x14ac:dyDescent="0.2">
      <c r="A69" s="28" t="s">
        <v>67</v>
      </c>
      <c r="B69" s="18" t="s">
        <v>66</v>
      </c>
      <c r="C69" s="28"/>
      <c r="D69" s="28"/>
      <c r="E69" s="28"/>
      <c r="F69" s="28">
        <v>6</v>
      </c>
      <c r="G69" s="28"/>
      <c r="H69" s="28">
        <v>24</v>
      </c>
      <c r="I69" s="28"/>
      <c r="J69" s="28"/>
      <c r="K69" s="28">
        <f>SUM(C69:J70)</f>
        <v>30</v>
      </c>
      <c r="L69" s="29"/>
      <c r="M69" s="31">
        <v>46077</v>
      </c>
      <c r="N69" s="28">
        <v>360</v>
      </c>
      <c r="O69" s="27">
        <f ca="1">IF(N69="","",((11.5/30)*(DAYS360(M69,TODAY())))+N69)</f>
        <v>369.2</v>
      </c>
    </row>
    <row r="70" spans="1:15" ht="15" x14ac:dyDescent="0.2">
      <c r="A70" s="21"/>
      <c r="B70" s="18" t="s">
        <v>65</v>
      </c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</row>
    <row r="71" spans="1:15" ht="15" x14ac:dyDescent="0.2">
      <c r="A71" s="25" t="s">
        <v>64</v>
      </c>
      <c r="B71" s="15" t="s">
        <v>63</v>
      </c>
      <c r="C71" s="25"/>
      <c r="D71" s="25"/>
      <c r="E71" s="25"/>
      <c r="F71" s="25"/>
      <c r="G71" s="25"/>
      <c r="H71" s="25">
        <v>20</v>
      </c>
      <c r="I71" s="25"/>
      <c r="J71" s="25"/>
      <c r="K71" s="25">
        <f>SUM(C71:J72)</f>
        <v>20</v>
      </c>
      <c r="L71" s="26"/>
      <c r="M71" s="30">
        <v>46018</v>
      </c>
      <c r="N71" s="25">
        <v>411</v>
      </c>
      <c r="O71" s="24">
        <f ca="1">IF(N71="","",((11.5/30)*(DAYS360(M71,TODAY())))+N71)</f>
        <v>442.05</v>
      </c>
    </row>
    <row r="72" spans="1:15" ht="15" x14ac:dyDescent="0.2">
      <c r="A72" s="21"/>
      <c r="B72" s="15" t="s">
        <v>62</v>
      </c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</row>
    <row r="73" spans="1:15" ht="15" x14ac:dyDescent="0.2">
      <c r="A73" s="28" t="s">
        <v>61</v>
      </c>
      <c r="B73" s="18" t="s">
        <v>60</v>
      </c>
      <c r="C73" s="28"/>
      <c r="D73" s="28"/>
      <c r="E73" s="28"/>
      <c r="F73" s="28">
        <v>15</v>
      </c>
      <c r="G73" s="28"/>
      <c r="H73" s="28">
        <v>1</v>
      </c>
      <c r="I73" s="28"/>
      <c r="J73" s="28">
        <v>3</v>
      </c>
      <c r="K73" s="28">
        <f>SUM(C73:J74)</f>
        <v>19</v>
      </c>
      <c r="L73" s="29"/>
      <c r="M73" s="36">
        <v>46065</v>
      </c>
      <c r="N73" s="28">
        <v>397</v>
      </c>
      <c r="O73" s="27">
        <f ca="1">IF(N73="","",(11.5/30)*(DAYS360(M73,TODAY())))+N73</f>
        <v>410.8</v>
      </c>
    </row>
    <row r="74" spans="1:15" ht="15" x14ac:dyDescent="0.2">
      <c r="A74" s="21"/>
      <c r="B74" s="18" t="s">
        <v>59</v>
      </c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</row>
    <row r="75" spans="1:15" ht="15" x14ac:dyDescent="0.2">
      <c r="A75" s="17" t="s">
        <v>58</v>
      </c>
      <c r="B75" s="15" t="s">
        <v>57</v>
      </c>
      <c r="C75" s="15"/>
      <c r="D75" s="15"/>
      <c r="E75" s="35"/>
      <c r="F75" s="15"/>
      <c r="G75" s="15"/>
      <c r="H75" s="15"/>
      <c r="I75" s="15"/>
      <c r="J75" s="15"/>
      <c r="K75" s="15">
        <f>SUM(C75:J75)</f>
        <v>0</v>
      </c>
      <c r="L75" s="16"/>
      <c r="M75" s="34"/>
      <c r="N75" s="15"/>
      <c r="O75" s="33" t="str">
        <f ca="1">IF(N75="","",((11.5/30)*(DAYS360(M75,TODAY())))+N75)</f>
        <v/>
      </c>
    </row>
    <row r="76" spans="1:15" ht="16" x14ac:dyDescent="0.2">
      <c r="A76" s="20" t="s">
        <v>56</v>
      </c>
      <c r="B76" s="18" t="s">
        <v>55</v>
      </c>
      <c r="C76" s="18"/>
      <c r="D76" s="18"/>
      <c r="E76" s="41">
        <v>11</v>
      </c>
      <c r="F76" s="18"/>
      <c r="G76" s="18">
        <v>14</v>
      </c>
      <c r="H76" s="18"/>
      <c r="I76" s="18"/>
      <c r="J76" s="18"/>
      <c r="K76" s="18">
        <f>SUM(C76:J76)</f>
        <v>25</v>
      </c>
      <c r="L76" s="19" t="s">
        <v>54</v>
      </c>
      <c r="M76" s="40">
        <v>45986</v>
      </c>
      <c r="N76" s="18">
        <v>240</v>
      </c>
      <c r="O76" s="37">
        <f ca="1">IF(N76="","",((11.5/30)*(DAYS360(M76,TODAY())))+N76)</f>
        <v>283.31666666666666</v>
      </c>
    </row>
    <row r="77" spans="1:15" ht="15" x14ac:dyDescent="0.2">
      <c r="A77" s="25" t="s">
        <v>53</v>
      </c>
      <c r="B77" s="15" t="s">
        <v>52</v>
      </c>
      <c r="C77" s="25"/>
      <c r="D77" s="25"/>
      <c r="E77" s="39"/>
      <c r="F77" s="25">
        <v>2</v>
      </c>
      <c r="G77" s="25"/>
      <c r="H77" s="25"/>
      <c r="I77" s="25"/>
      <c r="J77" s="25"/>
      <c r="K77" s="25">
        <f>SUM(C77:J78)</f>
        <v>2</v>
      </c>
      <c r="L77" s="26"/>
      <c r="M77" s="30">
        <v>45726</v>
      </c>
      <c r="N77" s="25">
        <v>434</v>
      </c>
      <c r="O77" s="24">
        <f ca="1">IF(N77="","",((11.5/30)*(DAYS360(M77,TODAY())))+N77)</f>
        <v>575.06666666666661</v>
      </c>
    </row>
    <row r="78" spans="1:15" ht="15" x14ac:dyDescent="0.2">
      <c r="A78" s="21"/>
      <c r="B78" s="15" t="s">
        <v>51</v>
      </c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</row>
    <row r="79" spans="1:15" ht="15" x14ac:dyDescent="0.2">
      <c r="A79" s="28" t="s">
        <v>50</v>
      </c>
      <c r="B79" s="18" t="s">
        <v>49</v>
      </c>
      <c r="C79" s="28"/>
      <c r="D79" s="28"/>
      <c r="E79" s="28"/>
      <c r="F79" s="28">
        <v>23</v>
      </c>
      <c r="G79" s="28"/>
      <c r="H79" s="28"/>
      <c r="I79" s="28"/>
      <c r="J79" s="28"/>
      <c r="K79" s="28">
        <f>SUM(C79:J80)</f>
        <v>23</v>
      </c>
      <c r="L79" s="29"/>
      <c r="M79" s="36">
        <v>45969</v>
      </c>
      <c r="N79" s="28">
        <v>379</v>
      </c>
      <c r="O79" s="27">
        <f ca="1">IF(N79="","",((11.5/30)*(DAYS360(M79,TODAY())))+N79)</f>
        <v>428.83333333333331</v>
      </c>
    </row>
    <row r="80" spans="1:15" ht="15" x14ac:dyDescent="0.2">
      <c r="A80" s="21"/>
      <c r="B80" s="18" t="s">
        <v>48</v>
      </c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</row>
    <row r="81" spans="1:23" ht="15" x14ac:dyDescent="0.2">
      <c r="A81" s="17" t="s">
        <v>47</v>
      </c>
      <c r="B81" s="15" t="s">
        <v>46</v>
      </c>
      <c r="C81" s="15"/>
      <c r="D81" s="15"/>
      <c r="E81" s="35"/>
      <c r="F81" s="15">
        <v>6</v>
      </c>
      <c r="G81" s="15"/>
      <c r="H81" s="15"/>
      <c r="I81" s="15"/>
      <c r="J81" s="15"/>
      <c r="K81" s="15">
        <f>SUM(C81:J81)</f>
        <v>6</v>
      </c>
      <c r="L81" s="16"/>
      <c r="M81" s="38">
        <v>45798</v>
      </c>
      <c r="N81" s="15">
        <v>382</v>
      </c>
      <c r="O81" s="37">
        <f ca="1">IF(N81="","",((11.5/30)*(DAYS360(M81,TODAY())))+N81)</f>
        <v>495.85</v>
      </c>
    </row>
    <row r="82" spans="1:23" ht="15" x14ac:dyDescent="0.2">
      <c r="A82" s="28" t="s">
        <v>45</v>
      </c>
      <c r="B82" s="18" t="s">
        <v>44</v>
      </c>
      <c r="C82" s="28"/>
      <c r="D82" s="28"/>
      <c r="E82" s="32"/>
      <c r="F82" s="28"/>
      <c r="G82" s="28"/>
      <c r="H82" s="28">
        <v>22</v>
      </c>
      <c r="I82" s="28"/>
      <c r="J82" s="28"/>
      <c r="K82" s="28">
        <f>SUM(C82:J83)</f>
        <v>22</v>
      </c>
      <c r="L82" s="29"/>
      <c r="M82" s="36">
        <v>46037</v>
      </c>
      <c r="N82" s="28">
        <v>470</v>
      </c>
      <c r="O82" s="27">
        <f ca="1">IF(N82="","",((11.5/30)*(DAYS360(M82,TODAY())))+N82)</f>
        <v>494.15</v>
      </c>
    </row>
    <row r="83" spans="1:23" ht="15" x14ac:dyDescent="0.2">
      <c r="A83" s="21"/>
      <c r="B83" s="18" t="s">
        <v>43</v>
      </c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</row>
    <row r="84" spans="1:23" ht="15" x14ac:dyDescent="0.2">
      <c r="A84" s="17" t="s">
        <v>42</v>
      </c>
      <c r="B84" s="15" t="s">
        <v>41</v>
      </c>
      <c r="C84" s="15"/>
      <c r="D84" s="15"/>
      <c r="E84" s="35"/>
      <c r="F84" s="15">
        <v>12</v>
      </c>
      <c r="G84" s="15"/>
      <c r="H84" s="15"/>
      <c r="I84" s="15"/>
      <c r="J84" s="15"/>
      <c r="K84" s="15">
        <f>SUM(C84:J84)</f>
        <v>12</v>
      </c>
      <c r="L84" s="16"/>
      <c r="M84" s="34">
        <v>45776</v>
      </c>
      <c r="N84" s="15">
        <v>377</v>
      </c>
      <c r="O84" s="33">
        <f ca="1">IF(N84="","",((11.5/30)*(DAYS360(M84,TODAY())))+N84)</f>
        <v>499.28333333333336</v>
      </c>
    </row>
    <row r="85" spans="1:23" ht="15" x14ac:dyDescent="0.2">
      <c r="A85" s="28" t="s">
        <v>40</v>
      </c>
      <c r="B85" s="18" t="s">
        <v>39</v>
      </c>
      <c r="C85" s="28"/>
      <c r="D85" s="28"/>
      <c r="E85" s="32"/>
      <c r="F85" s="28">
        <v>28</v>
      </c>
      <c r="G85" s="28"/>
      <c r="H85" s="28"/>
      <c r="I85" s="28"/>
      <c r="J85" s="28"/>
      <c r="K85" s="28">
        <f>SUM(C85:J86)</f>
        <v>28</v>
      </c>
      <c r="L85" s="29"/>
      <c r="M85" s="31">
        <v>45969</v>
      </c>
      <c r="N85" s="28">
        <v>384</v>
      </c>
      <c r="O85" s="27">
        <f ca="1">IF(N85="","",((11.5/30)*(DAYS360(M85,TODAY())))+N85)</f>
        <v>433.83333333333331</v>
      </c>
      <c r="P85" s="22" t="s">
        <v>38</v>
      </c>
      <c r="Q85" s="22"/>
      <c r="R85" s="22"/>
      <c r="S85" s="22"/>
      <c r="T85" s="22"/>
      <c r="U85" s="22"/>
      <c r="V85" s="22"/>
      <c r="W85" s="22">
        <f>166+218</f>
        <v>384</v>
      </c>
    </row>
    <row r="86" spans="1:23" ht="15" x14ac:dyDescent="0.2">
      <c r="A86" s="21"/>
      <c r="B86" s="18" t="s">
        <v>37</v>
      </c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2" t="s">
        <v>36</v>
      </c>
      <c r="Q86" s="22"/>
      <c r="R86" s="22"/>
      <c r="S86" s="22"/>
      <c r="T86" s="22"/>
      <c r="U86" s="22"/>
      <c r="V86" s="22"/>
      <c r="W86" s="22">
        <v>20</v>
      </c>
    </row>
    <row r="87" spans="1:23" ht="15" x14ac:dyDescent="0.2">
      <c r="A87" s="25" t="s">
        <v>35</v>
      </c>
      <c r="B87" s="15" t="s">
        <v>34</v>
      </c>
      <c r="C87" s="25"/>
      <c r="D87" s="25"/>
      <c r="E87" s="25"/>
      <c r="F87" s="25">
        <v>15</v>
      </c>
      <c r="G87" s="25"/>
      <c r="H87" s="25"/>
      <c r="I87" s="25"/>
      <c r="J87" s="25">
        <v>1</v>
      </c>
      <c r="K87" s="25">
        <f>SUM(C87:J88)</f>
        <v>16</v>
      </c>
      <c r="L87" s="26"/>
      <c r="M87" s="30">
        <v>46077</v>
      </c>
      <c r="N87" s="25">
        <v>344</v>
      </c>
      <c r="O87" s="24">
        <f ca="1">IF(N87="","",((11.5/30)*(DAYS360(M87,TODAY())))+N87)</f>
        <v>353.2</v>
      </c>
      <c r="P87" s="22" t="s">
        <v>33</v>
      </c>
      <c r="Q87" s="22"/>
      <c r="R87" s="22"/>
      <c r="S87" s="22"/>
      <c r="T87" s="22"/>
      <c r="U87" s="22"/>
      <c r="V87" s="22"/>
      <c r="W87" s="22">
        <f>152+280+4</f>
        <v>436</v>
      </c>
    </row>
    <row r="88" spans="1:23" ht="15" x14ac:dyDescent="0.2">
      <c r="A88" s="21"/>
      <c r="B88" s="15" t="s">
        <v>32</v>
      </c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2" t="s">
        <v>31</v>
      </c>
      <c r="Q88" s="22"/>
      <c r="R88" s="22"/>
      <c r="S88" s="22"/>
      <c r="T88" s="22"/>
      <c r="U88" s="22"/>
      <c r="V88" s="22"/>
      <c r="W88" s="22">
        <f>17+8+2+5</f>
        <v>32</v>
      </c>
    </row>
    <row r="89" spans="1:23" ht="15" x14ac:dyDescent="0.2">
      <c r="A89" s="28" t="s">
        <v>30</v>
      </c>
      <c r="B89" s="18" t="s">
        <v>29</v>
      </c>
      <c r="C89" s="28"/>
      <c r="D89" s="28">
        <v>4</v>
      </c>
      <c r="E89" s="28"/>
      <c r="F89" s="28">
        <v>9</v>
      </c>
      <c r="G89" s="28"/>
      <c r="H89" s="28"/>
      <c r="I89" s="28"/>
      <c r="J89" s="28"/>
      <c r="K89" s="28">
        <f>SUM(C89:J90)</f>
        <v>13</v>
      </c>
      <c r="L89" s="29" t="s">
        <v>28</v>
      </c>
      <c r="M89" s="28" t="s">
        <v>27</v>
      </c>
      <c r="N89" s="28">
        <v>362</v>
      </c>
      <c r="O89" s="27">
        <f ca="1">IF(N89="","",((11.5/30)*(DAYS360(M89,TODAY())))+N89)</f>
        <v>441.73333333333335</v>
      </c>
      <c r="P89" s="22" t="s">
        <v>26</v>
      </c>
      <c r="Q89" s="22"/>
      <c r="R89" s="22"/>
      <c r="S89" s="22"/>
      <c r="T89" s="22"/>
      <c r="U89" s="22"/>
      <c r="V89" s="22"/>
      <c r="W89" s="22">
        <v>8</v>
      </c>
    </row>
    <row r="90" spans="1:23" ht="15" x14ac:dyDescent="0.2">
      <c r="A90" s="21"/>
      <c r="B90" s="18" t="s">
        <v>25</v>
      </c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2"/>
      <c r="Q90" s="22"/>
      <c r="R90" s="22"/>
      <c r="S90" s="22"/>
      <c r="T90" s="22"/>
      <c r="U90" s="22"/>
      <c r="V90" s="22"/>
      <c r="W90" s="22"/>
    </row>
    <row r="91" spans="1:23" ht="15" x14ac:dyDescent="0.2">
      <c r="A91" s="25" t="s">
        <v>24</v>
      </c>
      <c r="B91" s="15" t="s">
        <v>23</v>
      </c>
      <c r="C91" s="25"/>
      <c r="D91" s="25">
        <v>53</v>
      </c>
      <c r="E91" s="25"/>
      <c r="F91" s="25"/>
      <c r="G91" s="25"/>
      <c r="H91" s="25"/>
      <c r="I91" s="25">
        <v>1</v>
      </c>
      <c r="J91" s="25"/>
      <c r="K91" s="25">
        <f>SUM(D91:J93)</f>
        <v>54</v>
      </c>
      <c r="L91" s="26" t="s">
        <v>22</v>
      </c>
      <c r="M91" s="25"/>
      <c r="N91" s="25"/>
      <c r="O91" s="24" t="str">
        <f ca="1">IF(N91="","",((11.5/30)*(DAYS360(M91,TODAY())))+N91)</f>
        <v/>
      </c>
      <c r="P91" s="22"/>
      <c r="Q91" s="22"/>
      <c r="R91" s="22"/>
      <c r="S91" s="22"/>
      <c r="T91" s="22"/>
      <c r="U91" s="22"/>
      <c r="V91" s="22"/>
      <c r="W91" s="22">
        <f>SUM(W85:W90)</f>
        <v>880</v>
      </c>
    </row>
    <row r="92" spans="1:23" ht="15" x14ac:dyDescent="0.2">
      <c r="A92" s="23"/>
      <c r="B92" s="15" t="s">
        <v>21</v>
      </c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2"/>
      <c r="Q92" s="22"/>
      <c r="R92" s="22"/>
      <c r="S92" s="22"/>
      <c r="T92" s="22"/>
      <c r="U92" s="22"/>
      <c r="V92" s="22"/>
      <c r="W92" s="22">
        <f>K96-W91</f>
        <v>276</v>
      </c>
    </row>
    <row r="93" spans="1:23" ht="15" x14ac:dyDescent="0.2">
      <c r="A93" s="21"/>
      <c r="B93" s="15" t="s">
        <v>20</v>
      </c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</row>
    <row r="94" spans="1:23" ht="16" x14ac:dyDescent="0.2">
      <c r="A94" s="20" t="s">
        <v>19</v>
      </c>
      <c r="B94" s="18" t="s">
        <v>18</v>
      </c>
      <c r="C94" s="18"/>
      <c r="D94" s="18">
        <v>10</v>
      </c>
      <c r="E94" s="18"/>
      <c r="F94" s="18"/>
      <c r="G94" s="18"/>
      <c r="H94" s="18"/>
      <c r="I94" s="18"/>
      <c r="J94" s="18"/>
      <c r="K94" s="18">
        <f>SUM(C94:J94)</f>
        <v>10</v>
      </c>
      <c r="L94" s="19" t="s">
        <v>17</v>
      </c>
      <c r="M94" s="18"/>
      <c r="N94" s="18"/>
      <c r="O94" s="18" t="str">
        <f ca="1">IF(N94="","",((11.5/30)*(DAYS360(M94,TODAY())))+N94)</f>
        <v/>
      </c>
    </row>
    <row r="95" spans="1:23" ht="16" x14ac:dyDescent="0.2">
      <c r="A95" s="17" t="s">
        <v>16</v>
      </c>
      <c r="B95" s="15" t="s">
        <v>15</v>
      </c>
      <c r="C95" s="15">
        <v>5</v>
      </c>
      <c r="D95" s="15">
        <v>4</v>
      </c>
      <c r="E95" s="15"/>
      <c r="F95" s="15"/>
      <c r="G95" s="15"/>
      <c r="H95" s="15">
        <v>17</v>
      </c>
      <c r="I95" s="15"/>
      <c r="J95" s="15"/>
      <c r="K95" s="9">
        <f>SUM(C95:J95)</f>
        <v>26</v>
      </c>
      <c r="L95" s="16" t="s">
        <v>14</v>
      </c>
      <c r="M95" s="15"/>
      <c r="N95" s="15"/>
      <c r="O95" s="15"/>
    </row>
    <row r="96" spans="1:23" ht="15" x14ac:dyDescent="0.2">
      <c r="A96" s="12" t="s">
        <v>13</v>
      </c>
      <c r="B96" s="12"/>
      <c r="C96" s="12">
        <f>SUM(C3:C95)</f>
        <v>22</v>
      </c>
      <c r="D96" s="12">
        <f>SUM(D3:D95)</f>
        <v>75</v>
      </c>
      <c r="E96" s="12">
        <f>SUM(E3:E95)</f>
        <v>179</v>
      </c>
      <c r="F96" s="12">
        <f>SUM(F3:F95)</f>
        <v>533</v>
      </c>
      <c r="G96" s="12">
        <f>SUM(G3:G95)</f>
        <v>14</v>
      </c>
      <c r="H96" s="12">
        <f>SUM(H3:H95)</f>
        <v>322</v>
      </c>
      <c r="I96" s="12">
        <f>SUM(I3:I95)</f>
        <v>2</v>
      </c>
      <c r="J96" s="12">
        <f>SUM(J3:J95)</f>
        <v>9</v>
      </c>
      <c r="K96" s="14">
        <f>SUM(K3:K95)</f>
        <v>1156</v>
      </c>
      <c r="L96" s="13"/>
      <c r="M96" s="12"/>
      <c r="N96" s="12"/>
      <c r="O96" s="12"/>
    </row>
    <row r="97" spans="1:12" ht="13" x14ac:dyDescent="0.15">
      <c r="D97" s="11">
        <f>C96+D96</f>
        <v>97</v>
      </c>
      <c r="E97" s="11"/>
      <c r="F97" s="11">
        <f>E96+F96</f>
        <v>712</v>
      </c>
      <c r="G97" s="11">
        <f>G96</f>
        <v>14</v>
      </c>
      <c r="H97" s="11">
        <f>H96</f>
        <v>322</v>
      </c>
      <c r="I97" s="11">
        <f>I96</f>
        <v>2</v>
      </c>
      <c r="J97" s="11">
        <f>J96</f>
        <v>9</v>
      </c>
      <c r="L97" s="1">
        <f>K96-L98-L99</f>
        <v>848</v>
      </c>
    </row>
    <row r="98" spans="1:12" ht="13" x14ac:dyDescent="0.15">
      <c r="L98" s="1">
        <v>54</v>
      </c>
    </row>
    <row r="99" spans="1:12" ht="42" x14ac:dyDescent="0.15">
      <c r="A99" s="10" t="s">
        <v>12</v>
      </c>
      <c r="B99" s="10" t="s">
        <v>11</v>
      </c>
      <c r="L99" s="1">
        <v>254</v>
      </c>
    </row>
    <row r="100" spans="1:12" ht="13" x14ac:dyDescent="0.15">
      <c r="A100" s="9" t="s">
        <v>10</v>
      </c>
      <c r="B100" s="4">
        <f ca="1">SUMIF(T3:T52,"",S3:S52)</f>
        <v>281</v>
      </c>
      <c r="L100" s="1"/>
    </row>
    <row r="101" spans="1:12" ht="13" x14ac:dyDescent="0.15">
      <c r="A101" s="9" t="s">
        <v>9</v>
      </c>
      <c r="B101" s="4">
        <f ca="1">SUMIF(T3:T52,"&lt;430",S3:S52)</f>
        <v>294</v>
      </c>
      <c r="L101" s="1"/>
    </row>
    <row r="102" spans="1:12" ht="13" x14ac:dyDescent="0.15">
      <c r="A102" s="9" t="s">
        <v>8</v>
      </c>
      <c r="B102" s="4">
        <f ca="1">SUMIF(T3:T52,"&gt;431",S3:S52)-SUMIF(T3:T52,"&gt;481",S3:S52)</f>
        <v>278</v>
      </c>
      <c r="L102" s="1"/>
    </row>
    <row r="103" spans="1:12" ht="13" x14ac:dyDescent="0.15">
      <c r="A103" s="9" t="s">
        <v>7</v>
      </c>
      <c r="B103" s="4">
        <f ca="1">SUMIF(T3:T52,"&gt;481",S3:S52)-B104</f>
        <v>169</v>
      </c>
      <c r="L103" s="1"/>
    </row>
    <row r="104" spans="1:12" ht="13" x14ac:dyDescent="0.15">
      <c r="A104" s="9" t="s">
        <v>6</v>
      </c>
      <c r="B104" s="4">
        <f ca="1">SUMIF(T3:T52,"&gt;530",S3:S52)</f>
        <v>134</v>
      </c>
      <c r="L104" s="1"/>
    </row>
    <row r="105" spans="1:12" ht="13" x14ac:dyDescent="0.15">
      <c r="A105" s="8" t="s">
        <v>3</v>
      </c>
      <c r="B105" s="8">
        <f ca="1">SUM(B100:B104)</f>
        <v>1156</v>
      </c>
      <c r="L105" s="1"/>
    </row>
    <row r="106" spans="1:12" ht="13" x14ac:dyDescent="0.15">
      <c r="L106" s="1"/>
    </row>
    <row r="107" spans="1:12" ht="13" x14ac:dyDescent="0.15">
      <c r="A107" s="7" t="s">
        <v>5</v>
      </c>
      <c r="B107" s="6"/>
      <c r="L107" s="1"/>
    </row>
    <row r="108" spans="1:12" ht="38.25" customHeight="1" x14ac:dyDescent="0.15">
      <c r="A108" s="3" t="s">
        <v>4</v>
      </c>
      <c r="B108" s="3" t="s">
        <v>3</v>
      </c>
      <c r="L108" s="1"/>
    </row>
    <row r="109" spans="1:12" ht="39.75" customHeight="1" x14ac:dyDescent="0.15">
      <c r="A109" s="3" t="s">
        <v>2</v>
      </c>
      <c r="B109" s="2">
        <f>D97</f>
        <v>97</v>
      </c>
      <c r="L109" s="1"/>
    </row>
    <row r="110" spans="1:12" ht="36" customHeight="1" x14ac:dyDescent="0.15">
      <c r="A110" s="3" t="s">
        <v>1</v>
      </c>
      <c r="B110" s="2">
        <f>F97</f>
        <v>712</v>
      </c>
      <c r="L110" s="1"/>
    </row>
    <row r="111" spans="1:12" ht="36" customHeight="1" x14ac:dyDescent="0.15">
      <c r="A111" s="5" t="s">
        <v>0</v>
      </c>
      <c r="B111" s="2">
        <f>H97</f>
        <v>322</v>
      </c>
      <c r="L111" s="1"/>
    </row>
    <row r="112" spans="1:12" ht="36" customHeight="1" x14ac:dyDescent="0.15">
      <c r="A112" s="4"/>
      <c r="B112" s="2">
        <f>I97</f>
        <v>2</v>
      </c>
      <c r="L112" s="1"/>
    </row>
    <row r="113" spans="1:12" ht="36" customHeight="1" x14ac:dyDescent="0.15">
      <c r="A113" s="3">
        <v>96</v>
      </c>
      <c r="B113" s="2">
        <f>J97</f>
        <v>9</v>
      </c>
      <c r="L113" s="1"/>
    </row>
    <row r="114" spans="1:12" ht="13" x14ac:dyDescent="0.15">
      <c r="L114" s="1"/>
    </row>
    <row r="115" spans="1:12" ht="13" x14ac:dyDescent="0.15">
      <c r="L115" s="1"/>
    </row>
    <row r="116" spans="1:12" ht="13" x14ac:dyDescent="0.15">
      <c r="L116" s="1"/>
    </row>
    <row r="117" spans="1:12" ht="13" x14ac:dyDescent="0.15">
      <c r="L117" s="1"/>
    </row>
    <row r="118" spans="1:12" ht="13" x14ac:dyDescent="0.15">
      <c r="L118" s="1"/>
    </row>
    <row r="119" spans="1:12" ht="13" x14ac:dyDescent="0.15">
      <c r="L119" s="1"/>
    </row>
    <row r="120" spans="1:12" ht="13" x14ac:dyDescent="0.15">
      <c r="L120" s="1"/>
    </row>
    <row r="121" spans="1:12" ht="13" x14ac:dyDescent="0.15">
      <c r="L121" s="1"/>
    </row>
    <row r="122" spans="1:12" ht="13" x14ac:dyDescent="0.15">
      <c r="L122" s="1"/>
    </row>
    <row r="123" spans="1:12" ht="13" x14ac:dyDescent="0.15">
      <c r="L123" s="1"/>
    </row>
    <row r="124" spans="1:12" ht="13" x14ac:dyDescent="0.15">
      <c r="L124" s="1"/>
    </row>
    <row r="125" spans="1:12" ht="13" x14ac:dyDescent="0.15">
      <c r="L125" s="1"/>
    </row>
    <row r="126" spans="1:12" ht="13" x14ac:dyDescent="0.15">
      <c r="L126" s="1"/>
    </row>
    <row r="127" spans="1:12" ht="13" x14ac:dyDescent="0.15">
      <c r="L127" s="1"/>
    </row>
    <row r="128" spans="1:12" ht="13" x14ac:dyDescent="0.15">
      <c r="L128" s="1"/>
    </row>
    <row r="129" spans="12:12" ht="13" x14ac:dyDescent="0.15">
      <c r="L129" s="1"/>
    </row>
    <row r="130" spans="12:12" ht="13" x14ac:dyDescent="0.15">
      <c r="L130" s="1"/>
    </row>
    <row r="131" spans="12:12" ht="13" x14ac:dyDescent="0.15">
      <c r="L131" s="1"/>
    </row>
    <row r="132" spans="12:12" ht="13" x14ac:dyDescent="0.15">
      <c r="L132" s="1"/>
    </row>
    <row r="133" spans="12:12" ht="13" x14ac:dyDescent="0.15">
      <c r="L133" s="1"/>
    </row>
    <row r="134" spans="12:12" ht="13" x14ac:dyDescent="0.15">
      <c r="L134" s="1"/>
    </row>
    <row r="135" spans="12:12" ht="13" x14ac:dyDescent="0.15">
      <c r="L135" s="1"/>
    </row>
    <row r="136" spans="12:12" ht="13" x14ac:dyDescent="0.15">
      <c r="L136" s="1"/>
    </row>
    <row r="137" spans="12:12" ht="13" x14ac:dyDescent="0.15">
      <c r="L137" s="1"/>
    </row>
    <row r="138" spans="12:12" ht="13" x14ac:dyDescent="0.15">
      <c r="L138" s="1"/>
    </row>
    <row r="139" spans="12:12" ht="13" x14ac:dyDescent="0.15">
      <c r="L139" s="1"/>
    </row>
    <row r="140" spans="12:12" ht="13" x14ac:dyDescent="0.15">
      <c r="L140" s="1"/>
    </row>
    <row r="141" spans="12:12" ht="13" x14ac:dyDescent="0.15">
      <c r="L141" s="1"/>
    </row>
    <row r="142" spans="12:12" ht="13" x14ac:dyDescent="0.15">
      <c r="L142" s="1"/>
    </row>
    <row r="143" spans="12:12" ht="13" x14ac:dyDescent="0.15">
      <c r="L143" s="1"/>
    </row>
    <row r="144" spans="12:12" ht="13" x14ac:dyDescent="0.15">
      <c r="L144" s="1"/>
    </row>
    <row r="145" spans="12:12" ht="13" x14ac:dyDescent="0.15">
      <c r="L145" s="1"/>
    </row>
    <row r="146" spans="12:12" ht="13" x14ac:dyDescent="0.15">
      <c r="L146" s="1"/>
    </row>
    <row r="147" spans="12:12" ht="13" x14ac:dyDescent="0.15">
      <c r="L147" s="1"/>
    </row>
    <row r="148" spans="12:12" ht="13" x14ac:dyDescent="0.15">
      <c r="L148" s="1"/>
    </row>
    <row r="149" spans="12:12" ht="13" x14ac:dyDescent="0.15">
      <c r="L149" s="1"/>
    </row>
    <row r="150" spans="12:12" ht="13" x14ac:dyDescent="0.15">
      <c r="L150" s="1"/>
    </row>
    <row r="151" spans="12:12" ht="13" x14ac:dyDescent="0.15">
      <c r="L151" s="1"/>
    </row>
    <row r="152" spans="12:12" ht="13" x14ac:dyDescent="0.15">
      <c r="L152" s="1"/>
    </row>
    <row r="153" spans="12:12" ht="13" x14ac:dyDescent="0.15">
      <c r="L153" s="1"/>
    </row>
    <row r="154" spans="12:12" ht="13" x14ac:dyDescent="0.15">
      <c r="L154" s="1"/>
    </row>
    <row r="155" spans="12:12" ht="13" x14ac:dyDescent="0.15">
      <c r="L155" s="1"/>
    </row>
    <row r="156" spans="12:12" ht="13" x14ac:dyDescent="0.15">
      <c r="L156" s="1"/>
    </row>
    <row r="157" spans="12:12" ht="13" x14ac:dyDescent="0.15">
      <c r="L157" s="1"/>
    </row>
    <row r="158" spans="12:12" ht="13" x14ac:dyDescent="0.15">
      <c r="L158" s="1"/>
    </row>
    <row r="159" spans="12:12" ht="13" x14ac:dyDescent="0.15">
      <c r="L159" s="1"/>
    </row>
    <row r="160" spans="12:12" ht="13" x14ac:dyDescent="0.15">
      <c r="L160" s="1"/>
    </row>
    <row r="161" spans="12:12" ht="13" x14ac:dyDescent="0.15">
      <c r="L161" s="1"/>
    </row>
    <row r="162" spans="12:12" ht="13" x14ac:dyDescent="0.15">
      <c r="L162" s="1"/>
    </row>
    <row r="163" spans="12:12" ht="13" x14ac:dyDescent="0.15">
      <c r="L163" s="1"/>
    </row>
    <row r="164" spans="12:12" ht="13" x14ac:dyDescent="0.15">
      <c r="L164" s="1"/>
    </row>
    <row r="165" spans="12:12" ht="13" x14ac:dyDescent="0.15">
      <c r="L165" s="1"/>
    </row>
    <row r="166" spans="12:12" ht="13" x14ac:dyDescent="0.15">
      <c r="L166" s="1"/>
    </row>
    <row r="167" spans="12:12" ht="13" x14ac:dyDescent="0.15">
      <c r="L167" s="1"/>
    </row>
    <row r="168" spans="12:12" ht="13" x14ac:dyDescent="0.15">
      <c r="L168" s="1"/>
    </row>
    <row r="169" spans="12:12" ht="13" x14ac:dyDescent="0.15">
      <c r="L169" s="1"/>
    </row>
    <row r="170" spans="12:12" ht="13" x14ac:dyDescent="0.15">
      <c r="L170" s="1"/>
    </row>
    <row r="171" spans="12:12" ht="13" x14ac:dyDescent="0.15">
      <c r="L171" s="1"/>
    </row>
    <row r="172" spans="12:12" ht="13" x14ac:dyDescent="0.15">
      <c r="L172" s="1"/>
    </row>
    <row r="173" spans="12:12" ht="13" x14ac:dyDescent="0.15">
      <c r="L173" s="1"/>
    </row>
    <row r="174" spans="12:12" ht="13" x14ac:dyDescent="0.15">
      <c r="L174" s="1"/>
    </row>
    <row r="175" spans="12:12" ht="13" x14ac:dyDescent="0.15">
      <c r="L175" s="1"/>
    </row>
    <row r="176" spans="12:12" ht="13" x14ac:dyDescent="0.15">
      <c r="L176" s="1"/>
    </row>
    <row r="177" spans="12:12" ht="13" x14ac:dyDescent="0.15">
      <c r="L177" s="1"/>
    </row>
    <row r="178" spans="12:12" ht="13" x14ac:dyDescent="0.15">
      <c r="L178" s="1"/>
    </row>
    <row r="179" spans="12:12" ht="13" x14ac:dyDescent="0.15">
      <c r="L179" s="1"/>
    </row>
    <row r="180" spans="12:12" ht="13" x14ac:dyDescent="0.15">
      <c r="L180" s="1"/>
    </row>
    <row r="181" spans="12:12" ht="13" x14ac:dyDescent="0.15">
      <c r="L181" s="1"/>
    </row>
    <row r="182" spans="12:12" ht="13" x14ac:dyDescent="0.15">
      <c r="L182" s="1"/>
    </row>
    <row r="183" spans="12:12" ht="13" x14ac:dyDescent="0.15">
      <c r="L183" s="1"/>
    </row>
    <row r="184" spans="12:12" ht="13" x14ac:dyDescent="0.15">
      <c r="L184" s="1"/>
    </row>
    <row r="185" spans="12:12" ht="13" x14ac:dyDescent="0.15">
      <c r="L185" s="1"/>
    </row>
    <row r="186" spans="12:12" ht="13" x14ac:dyDescent="0.15">
      <c r="L186" s="1"/>
    </row>
    <row r="187" spans="12:12" ht="13" x14ac:dyDescent="0.15">
      <c r="L187" s="1"/>
    </row>
    <row r="188" spans="12:12" ht="13" x14ac:dyDescent="0.15">
      <c r="L188" s="1"/>
    </row>
    <row r="189" spans="12:12" ht="13" x14ac:dyDescent="0.15">
      <c r="L189" s="1"/>
    </row>
    <row r="190" spans="12:12" ht="13" x14ac:dyDescent="0.15">
      <c r="L190" s="1"/>
    </row>
    <row r="191" spans="12:12" ht="13" x14ac:dyDescent="0.15">
      <c r="L191" s="1"/>
    </row>
    <row r="192" spans="12:12" ht="13" x14ac:dyDescent="0.15">
      <c r="L192" s="1"/>
    </row>
    <row r="193" spans="12:12" ht="13" x14ac:dyDescent="0.15">
      <c r="L193" s="1"/>
    </row>
    <row r="194" spans="12:12" ht="13" x14ac:dyDescent="0.15">
      <c r="L194" s="1"/>
    </row>
    <row r="195" spans="12:12" ht="13" x14ac:dyDescent="0.15">
      <c r="L195" s="1"/>
    </row>
    <row r="196" spans="12:12" ht="13" x14ac:dyDescent="0.15">
      <c r="L196" s="1"/>
    </row>
    <row r="197" spans="12:12" ht="13" x14ac:dyDescent="0.15">
      <c r="L197" s="1"/>
    </row>
    <row r="198" spans="12:12" ht="13" x14ac:dyDescent="0.15">
      <c r="L198" s="1"/>
    </row>
    <row r="199" spans="12:12" ht="13" x14ac:dyDescent="0.15">
      <c r="L199" s="1"/>
    </row>
    <row r="200" spans="12:12" ht="13" x14ac:dyDescent="0.15">
      <c r="L200" s="1"/>
    </row>
    <row r="201" spans="12:12" ht="13" x14ac:dyDescent="0.15">
      <c r="L201" s="1"/>
    </row>
    <row r="202" spans="12:12" ht="13" x14ac:dyDescent="0.15">
      <c r="L202" s="1"/>
    </row>
    <row r="203" spans="12:12" ht="13" x14ac:dyDescent="0.15">
      <c r="L203" s="1"/>
    </row>
    <row r="204" spans="12:12" ht="13" x14ac:dyDescent="0.15">
      <c r="L204" s="1"/>
    </row>
    <row r="205" spans="12:12" ht="13" x14ac:dyDescent="0.15">
      <c r="L205" s="1"/>
    </row>
    <row r="206" spans="12:12" ht="13" x14ac:dyDescent="0.15">
      <c r="L206" s="1"/>
    </row>
    <row r="207" spans="12:12" ht="13" x14ac:dyDescent="0.15">
      <c r="L207" s="1"/>
    </row>
    <row r="208" spans="12:12" ht="13" x14ac:dyDescent="0.15">
      <c r="L208" s="1"/>
    </row>
    <row r="209" spans="12:12" ht="13" x14ac:dyDescent="0.15">
      <c r="L209" s="1"/>
    </row>
    <row r="210" spans="12:12" ht="13" x14ac:dyDescent="0.15">
      <c r="L210" s="1"/>
    </row>
    <row r="211" spans="12:12" ht="13" x14ac:dyDescent="0.15">
      <c r="L211" s="1"/>
    </row>
    <row r="212" spans="12:12" ht="13" x14ac:dyDescent="0.15">
      <c r="L212" s="1"/>
    </row>
    <row r="213" spans="12:12" ht="13" x14ac:dyDescent="0.15">
      <c r="L213" s="1"/>
    </row>
    <row r="214" spans="12:12" ht="13" x14ac:dyDescent="0.15">
      <c r="L214" s="1"/>
    </row>
    <row r="215" spans="12:12" ht="13" x14ac:dyDescent="0.15">
      <c r="L215" s="1"/>
    </row>
    <row r="216" spans="12:12" ht="13" x14ac:dyDescent="0.15">
      <c r="L216" s="1"/>
    </row>
    <row r="217" spans="12:12" ht="13" x14ac:dyDescent="0.15">
      <c r="L217" s="1"/>
    </row>
    <row r="218" spans="12:12" ht="13" x14ac:dyDescent="0.15">
      <c r="L218" s="1"/>
    </row>
    <row r="219" spans="12:12" ht="13" x14ac:dyDescent="0.15">
      <c r="L219" s="1"/>
    </row>
    <row r="220" spans="12:12" ht="13" x14ac:dyDescent="0.15">
      <c r="L220" s="1"/>
    </row>
    <row r="221" spans="12:12" ht="13" x14ac:dyDescent="0.15">
      <c r="L221" s="1"/>
    </row>
    <row r="222" spans="12:12" ht="13" x14ac:dyDescent="0.15">
      <c r="L222" s="1"/>
    </row>
    <row r="223" spans="12:12" ht="13" x14ac:dyDescent="0.15">
      <c r="L223" s="1"/>
    </row>
    <row r="224" spans="12:12" ht="13" x14ac:dyDescent="0.15">
      <c r="L224" s="1"/>
    </row>
    <row r="225" spans="12:12" ht="13" x14ac:dyDescent="0.15">
      <c r="L225" s="1"/>
    </row>
    <row r="226" spans="12:12" ht="13" x14ac:dyDescent="0.15">
      <c r="L226" s="1"/>
    </row>
    <row r="227" spans="12:12" ht="13" x14ac:dyDescent="0.15">
      <c r="L227" s="1"/>
    </row>
    <row r="228" spans="12:12" ht="13" x14ac:dyDescent="0.15">
      <c r="L228" s="1"/>
    </row>
    <row r="229" spans="12:12" ht="13" x14ac:dyDescent="0.15">
      <c r="L229" s="1"/>
    </row>
    <row r="230" spans="12:12" ht="13" x14ac:dyDescent="0.15">
      <c r="L230" s="1"/>
    </row>
    <row r="231" spans="12:12" ht="13" x14ac:dyDescent="0.15">
      <c r="L231" s="1"/>
    </row>
    <row r="232" spans="12:12" ht="13" x14ac:dyDescent="0.15">
      <c r="L232" s="1"/>
    </row>
    <row r="233" spans="12:12" ht="13" x14ac:dyDescent="0.15">
      <c r="L233" s="1"/>
    </row>
    <row r="234" spans="12:12" ht="13" x14ac:dyDescent="0.15">
      <c r="L234" s="1"/>
    </row>
    <row r="235" spans="12:12" ht="13" x14ac:dyDescent="0.15">
      <c r="L235" s="1"/>
    </row>
    <row r="236" spans="12:12" ht="13" x14ac:dyDescent="0.15">
      <c r="L236" s="1"/>
    </row>
    <row r="237" spans="12:12" ht="13" x14ac:dyDescent="0.15">
      <c r="L237" s="1"/>
    </row>
    <row r="238" spans="12:12" ht="13" x14ac:dyDescent="0.15">
      <c r="L238" s="1"/>
    </row>
    <row r="239" spans="12:12" ht="13" x14ac:dyDescent="0.15">
      <c r="L239" s="1"/>
    </row>
    <row r="240" spans="12:12" ht="13" x14ac:dyDescent="0.15">
      <c r="L240" s="1"/>
    </row>
    <row r="241" spans="12:12" ht="13" x14ac:dyDescent="0.15">
      <c r="L241" s="1"/>
    </row>
    <row r="242" spans="12:12" ht="13" x14ac:dyDescent="0.15">
      <c r="L242" s="1"/>
    </row>
    <row r="243" spans="12:12" ht="13" x14ac:dyDescent="0.15">
      <c r="L243" s="1"/>
    </row>
    <row r="244" spans="12:12" ht="13" x14ac:dyDescent="0.15">
      <c r="L244" s="1"/>
    </row>
    <row r="245" spans="12:12" ht="13" x14ac:dyDescent="0.15">
      <c r="L245" s="1"/>
    </row>
    <row r="246" spans="12:12" ht="13" x14ac:dyDescent="0.15">
      <c r="L246" s="1"/>
    </row>
    <row r="247" spans="12:12" ht="13" x14ac:dyDescent="0.15">
      <c r="L247" s="1"/>
    </row>
    <row r="248" spans="12:12" ht="13" x14ac:dyDescent="0.15">
      <c r="L248" s="1"/>
    </row>
    <row r="249" spans="12:12" ht="13" x14ac:dyDescent="0.15">
      <c r="L249" s="1"/>
    </row>
    <row r="250" spans="12:12" ht="13" x14ac:dyDescent="0.15">
      <c r="L250" s="1"/>
    </row>
    <row r="251" spans="12:12" ht="13" x14ac:dyDescent="0.15">
      <c r="L251" s="1"/>
    </row>
    <row r="252" spans="12:12" ht="13" x14ac:dyDescent="0.15">
      <c r="L252" s="1"/>
    </row>
    <row r="253" spans="12:12" ht="13" x14ac:dyDescent="0.15">
      <c r="L253" s="1"/>
    </row>
    <row r="254" spans="12:12" ht="13" x14ac:dyDescent="0.15">
      <c r="L254" s="1"/>
    </row>
    <row r="255" spans="12:12" ht="13" x14ac:dyDescent="0.15">
      <c r="L255" s="1"/>
    </row>
    <row r="256" spans="12:12" ht="13" x14ac:dyDescent="0.15">
      <c r="L256" s="1"/>
    </row>
    <row r="257" spans="12:12" ht="13" x14ac:dyDescent="0.15">
      <c r="L257" s="1"/>
    </row>
    <row r="258" spans="12:12" ht="13" x14ac:dyDescent="0.15">
      <c r="L258" s="1"/>
    </row>
    <row r="259" spans="12:12" ht="13" x14ac:dyDescent="0.15">
      <c r="L259" s="1"/>
    </row>
    <row r="260" spans="12:12" ht="13" x14ac:dyDescent="0.15">
      <c r="L260" s="1"/>
    </row>
    <row r="261" spans="12:12" ht="13" x14ac:dyDescent="0.15">
      <c r="L261" s="1"/>
    </row>
    <row r="262" spans="12:12" ht="13" x14ac:dyDescent="0.15">
      <c r="L262" s="1"/>
    </row>
    <row r="263" spans="12:12" ht="13" x14ac:dyDescent="0.15">
      <c r="L263" s="1"/>
    </row>
    <row r="264" spans="12:12" ht="13" x14ac:dyDescent="0.15">
      <c r="L264" s="1"/>
    </row>
    <row r="265" spans="12:12" ht="13" x14ac:dyDescent="0.15">
      <c r="L265" s="1"/>
    </row>
    <row r="266" spans="12:12" ht="13" x14ac:dyDescent="0.15">
      <c r="L266" s="1"/>
    </row>
    <row r="267" spans="12:12" ht="13" x14ac:dyDescent="0.15">
      <c r="L267" s="1"/>
    </row>
    <row r="268" spans="12:12" ht="13" x14ac:dyDescent="0.15">
      <c r="L268" s="1"/>
    </row>
    <row r="269" spans="12:12" ht="13" x14ac:dyDescent="0.15">
      <c r="L269" s="1"/>
    </row>
    <row r="270" spans="12:12" ht="13" x14ac:dyDescent="0.15">
      <c r="L270" s="1"/>
    </row>
    <row r="271" spans="12:12" ht="13" x14ac:dyDescent="0.15">
      <c r="L271" s="1"/>
    </row>
    <row r="272" spans="12:12" ht="13" x14ac:dyDescent="0.15">
      <c r="L272" s="1"/>
    </row>
    <row r="273" spans="12:12" ht="13" x14ac:dyDescent="0.15">
      <c r="L273" s="1"/>
    </row>
    <row r="274" spans="12:12" ht="13" x14ac:dyDescent="0.15">
      <c r="L274" s="1"/>
    </row>
    <row r="275" spans="12:12" ht="13" x14ac:dyDescent="0.15">
      <c r="L275" s="1"/>
    </row>
    <row r="276" spans="12:12" ht="13" x14ac:dyDescent="0.15">
      <c r="L276" s="1"/>
    </row>
    <row r="277" spans="12:12" ht="13" x14ac:dyDescent="0.15">
      <c r="L277" s="1"/>
    </row>
    <row r="278" spans="12:12" ht="13" x14ac:dyDescent="0.15">
      <c r="L278" s="1"/>
    </row>
    <row r="279" spans="12:12" ht="13" x14ac:dyDescent="0.15">
      <c r="L279" s="1"/>
    </row>
    <row r="280" spans="12:12" ht="13" x14ac:dyDescent="0.15">
      <c r="L280" s="1"/>
    </row>
    <row r="281" spans="12:12" ht="13" x14ac:dyDescent="0.15">
      <c r="L281" s="1"/>
    </row>
    <row r="282" spans="12:12" ht="13" x14ac:dyDescent="0.15">
      <c r="L282" s="1"/>
    </row>
    <row r="283" spans="12:12" ht="13" x14ac:dyDescent="0.15">
      <c r="L283" s="1"/>
    </row>
    <row r="284" spans="12:12" ht="13" x14ac:dyDescent="0.15">
      <c r="L284" s="1"/>
    </row>
    <row r="285" spans="12:12" ht="13" x14ac:dyDescent="0.15">
      <c r="L285" s="1"/>
    </row>
    <row r="286" spans="12:12" ht="13" x14ac:dyDescent="0.15">
      <c r="L286" s="1"/>
    </row>
    <row r="287" spans="12:12" ht="13" x14ac:dyDescent="0.15">
      <c r="L287" s="1"/>
    </row>
    <row r="288" spans="12:12" ht="13" x14ac:dyDescent="0.15">
      <c r="L288" s="1"/>
    </row>
    <row r="289" spans="12:12" ht="13" x14ac:dyDescent="0.15">
      <c r="L289" s="1"/>
    </row>
    <row r="290" spans="12:12" ht="13" x14ac:dyDescent="0.15">
      <c r="L290" s="1"/>
    </row>
    <row r="291" spans="12:12" ht="13" x14ac:dyDescent="0.15">
      <c r="L291" s="1"/>
    </row>
    <row r="292" spans="12:12" ht="13" x14ac:dyDescent="0.15">
      <c r="L292" s="1"/>
    </row>
    <row r="293" spans="12:12" ht="13" x14ac:dyDescent="0.15">
      <c r="L293" s="1"/>
    </row>
    <row r="294" spans="12:12" ht="13" x14ac:dyDescent="0.15">
      <c r="L294" s="1"/>
    </row>
    <row r="295" spans="12:12" ht="13" x14ac:dyDescent="0.15">
      <c r="L295" s="1"/>
    </row>
    <row r="296" spans="12:12" ht="13" x14ac:dyDescent="0.15">
      <c r="L296" s="1"/>
    </row>
    <row r="297" spans="12:12" ht="13" x14ac:dyDescent="0.15">
      <c r="L297" s="1"/>
    </row>
    <row r="298" spans="12:12" ht="13" x14ac:dyDescent="0.15">
      <c r="L298" s="1"/>
    </row>
    <row r="299" spans="12:12" ht="13" x14ac:dyDescent="0.15">
      <c r="L299" s="1"/>
    </row>
    <row r="300" spans="12:12" ht="13" x14ac:dyDescent="0.15">
      <c r="L300" s="1"/>
    </row>
    <row r="301" spans="12:12" ht="13" x14ac:dyDescent="0.15">
      <c r="L301" s="1"/>
    </row>
    <row r="302" spans="12:12" ht="13" x14ac:dyDescent="0.15">
      <c r="L302" s="1"/>
    </row>
    <row r="303" spans="12:12" ht="13" x14ac:dyDescent="0.15">
      <c r="L303" s="1"/>
    </row>
    <row r="304" spans="12:12" ht="13" x14ac:dyDescent="0.15">
      <c r="L304" s="1"/>
    </row>
    <row r="305" spans="12:12" ht="13" x14ac:dyDescent="0.15">
      <c r="L305" s="1"/>
    </row>
    <row r="306" spans="12:12" ht="13" x14ac:dyDescent="0.15">
      <c r="L306" s="1"/>
    </row>
    <row r="307" spans="12:12" ht="13" x14ac:dyDescent="0.15">
      <c r="L307" s="1"/>
    </row>
    <row r="308" spans="12:12" ht="13" x14ac:dyDescent="0.15">
      <c r="L308" s="1"/>
    </row>
    <row r="309" spans="12:12" ht="13" x14ac:dyDescent="0.15">
      <c r="L309" s="1"/>
    </row>
    <row r="310" spans="12:12" ht="13" x14ac:dyDescent="0.15">
      <c r="L310" s="1"/>
    </row>
    <row r="311" spans="12:12" ht="13" x14ac:dyDescent="0.15">
      <c r="L311" s="1"/>
    </row>
    <row r="312" spans="12:12" ht="13" x14ac:dyDescent="0.15">
      <c r="L312" s="1"/>
    </row>
    <row r="313" spans="12:12" ht="13" x14ac:dyDescent="0.15">
      <c r="L313" s="1"/>
    </row>
    <row r="314" spans="12:12" ht="13" x14ac:dyDescent="0.15">
      <c r="L314" s="1"/>
    </row>
    <row r="315" spans="12:12" ht="13" x14ac:dyDescent="0.15">
      <c r="L315" s="1"/>
    </row>
    <row r="316" spans="12:12" ht="13" x14ac:dyDescent="0.15">
      <c r="L316" s="1"/>
    </row>
    <row r="317" spans="12:12" ht="13" x14ac:dyDescent="0.15">
      <c r="L317" s="1"/>
    </row>
    <row r="318" spans="12:12" ht="13" x14ac:dyDescent="0.15">
      <c r="L318" s="1"/>
    </row>
    <row r="319" spans="12:12" ht="13" x14ac:dyDescent="0.15">
      <c r="L319" s="1"/>
    </row>
    <row r="320" spans="12:12" ht="13" x14ac:dyDescent="0.15">
      <c r="L320" s="1"/>
    </row>
    <row r="321" spans="12:12" ht="13" x14ac:dyDescent="0.15">
      <c r="L321" s="1"/>
    </row>
    <row r="322" spans="12:12" ht="13" x14ac:dyDescent="0.15">
      <c r="L322" s="1"/>
    </row>
    <row r="323" spans="12:12" ht="13" x14ac:dyDescent="0.15">
      <c r="L323" s="1"/>
    </row>
    <row r="324" spans="12:12" ht="13" x14ac:dyDescent="0.15">
      <c r="L324" s="1"/>
    </row>
    <row r="325" spans="12:12" ht="13" x14ac:dyDescent="0.15">
      <c r="L325" s="1"/>
    </row>
    <row r="326" spans="12:12" ht="13" x14ac:dyDescent="0.15">
      <c r="L326" s="1"/>
    </row>
    <row r="327" spans="12:12" ht="13" x14ac:dyDescent="0.15">
      <c r="L327" s="1"/>
    </row>
    <row r="328" spans="12:12" ht="13" x14ac:dyDescent="0.15">
      <c r="L328" s="1"/>
    </row>
    <row r="329" spans="12:12" ht="13" x14ac:dyDescent="0.15">
      <c r="L329" s="1"/>
    </row>
    <row r="330" spans="12:12" ht="13" x14ac:dyDescent="0.15">
      <c r="L330" s="1"/>
    </row>
    <row r="331" spans="12:12" ht="13" x14ac:dyDescent="0.15">
      <c r="L331" s="1"/>
    </row>
    <row r="332" spans="12:12" ht="13" x14ac:dyDescent="0.15">
      <c r="L332" s="1"/>
    </row>
    <row r="333" spans="12:12" ht="13" x14ac:dyDescent="0.15">
      <c r="L333" s="1"/>
    </row>
    <row r="334" spans="12:12" ht="13" x14ac:dyDescent="0.15">
      <c r="L334" s="1"/>
    </row>
    <row r="335" spans="12:12" ht="13" x14ac:dyDescent="0.15">
      <c r="L335" s="1"/>
    </row>
    <row r="336" spans="12:12" ht="13" x14ac:dyDescent="0.15">
      <c r="L336" s="1"/>
    </row>
    <row r="337" spans="12:12" ht="13" x14ac:dyDescent="0.15">
      <c r="L337" s="1"/>
    </row>
    <row r="338" spans="12:12" ht="13" x14ac:dyDescent="0.15">
      <c r="L338" s="1"/>
    </row>
    <row r="339" spans="12:12" ht="13" x14ac:dyDescent="0.15">
      <c r="L339" s="1"/>
    </row>
    <row r="340" spans="12:12" ht="13" x14ac:dyDescent="0.15">
      <c r="L340" s="1"/>
    </row>
    <row r="341" spans="12:12" ht="13" x14ac:dyDescent="0.15">
      <c r="L341" s="1"/>
    </row>
    <row r="342" spans="12:12" ht="13" x14ac:dyDescent="0.15">
      <c r="L342" s="1"/>
    </row>
    <row r="343" spans="12:12" ht="13" x14ac:dyDescent="0.15">
      <c r="L343" s="1"/>
    </row>
    <row r="344" spans="12:12" ht="13" x14ac:dyDescent="0.15">
      <c r="L344" s="1"/>
    </row>
    <row r="345" spans="12:12" ht="13" x14ac:dyDescent="0.15">
      <c r="L345" s="1"/>
    </row>
    <row r="346" spans="12:12" ht="13" x14ac:dyDescent="0.15">
      <c r="L346" s="1"/>
    </row>
    <row r="347" spans="12:12" ht="13" x14ac:dyDescent="0.15">
      <c r="L347" s="1"/>
    </row>
    <row r="348" spans="12:12" ht="13" x14ac:dyDescent="0.15">
      <c r="L348" s="1"/>
    </row>
    <row r="349" spans="12:12" ht="13" x14ac:dyDescent="0.15">
      <c r="L349" s="1"/>
    </row>
    <row r="350" spans="12:12" ht="13" x14ac:dyDescent="0.15">
      <c r="L350" s="1"/>
    </row>
    <row r="351" spans="12:12" ht="13" x14ac:dyDescent="0.15">
      <c r="L351" s="1"/>
    </row>
    <row r="352" spans="12:12" ht="13" x14ac:dyDescent="0.15">
      <c r="L352" s="1"/>
    </row>
    <row r="353" spans="12:12" ht="13" x14ac:dyDescent="0.15">
      <c r="L353" s="1"/>
    </row>
    <row r="354" spans="12:12" ht="13" x14ac:dyDescent="0.15">
      <c r="L354" s="1"/>
    </row>
    <row r="355" spans="12:12" ht="13" x14ac:dyDescent="0.15">
      <c r="L355" s="1"/>
    </row>
    <row r="356" spans="12:12" ht="13" x14ac:dyDescent="0.15">
      <c r="L356" s="1"/>
    </row>
    <row r="357" spans="12:12" ht="13" x14ac:dyDescent="0.15">
      <c r="L357" s="1"/>
    </row>
    <row r="358" spans="12:12" ht="13" x14ac:dyDescent="0.15">
      <c r="L358" s="1"/>
    </row>
    <row r="359" spans="12:12" ht="13" x14ac:dyDescent="0.15">
      <c r="L359" s="1"/>
    </row>
    <row r="360" spans="12:12" ht="13" x14ac:dyDescent="0.15">
      <c r="L360" s="1"/>
    </row>
    <row r="361" spans="12:12" ht="13" x14ac:dyDescent="0.15">
      <c r="L361" s="1"/>
    </row>
    <row r="362" spans="12:12" ht="13" x14ac:dyDescent="0.15">
      <c r="L362" s="1"/>
    </row>
    <row r="363" spans="12:12" ht="13" x14ac:dyDescent="0.15">
      <c r="L363" s="1"/>
    </row>
    <row r="364" spans="12:12" ht="13" x14ac:dyDescent="0.15">
      <c r="L364" s="1"/>
    </row>
    <row r="365" spans="12:12" ht="13" x14ac:dyDescent="0.15">
      <c r="L365" s="1"/>
    </row>
    <row r="366" spans="12:12" ht="13" x14ac:dyDescent="0.15">
      <c r="L366" s="1"/>
    </row>
    <row r="367" spans="12:12" ht="13" x14ac:dyDescent="0.15">
      <c r="L367" s="1"/>
    </row>
    <row r="368" spans="12:12" ht="13" x14ac:dyDescent="0.15">
      <c r="L368" s="1"/>
    </row>
    <row r="369" spans="12:12" ht="13" x14ac:dyDescent="0.15">
      <c r="L369" s="1"/>
    </row>
    <row r="370" spans="12:12" ht="13" x14ac:dyDescent="0.15">
      <c r="L370" s="1"/>
    </row>
    <row r="371" spans="12:12" ht="13" x14ac:dyDescent="0.15">
      <c r="L371" s="1"/>
    </row>
    <row r="372" spans="12:12" ht="13" x14ac:dyDescent="0.15">
      <c r="L372" s="1"/>
    </row>
    <row r="373" spans="12:12" ht="13" x14ac:dyDescent="0.15">
      <c r="L373" s="1"/>
    </row>
    <row r="374" spans="12:12" ht="13" x14ac:dyDescent="0.15">
      <c r="L374" s="1"/>
    </row>
    <row r="375" spans="12:12" ht="13" x14ac:dyDescent="0.15">
      <c r="L375" s="1"/>
    </row>
    <row r="376" spans="12:12" ht="13" x14ac:dyDescent="0.15">
      <c r="L376" s="1"/>
    </row>
    <row r="377" spans="12:12" ht="13" x14ac:dyDescent="0.15">
      <c r="L377" s="1"/>
    </row>
    <row r="378" spans="12:12" ht="13" x14ac:dyDescent="0.15">
      <c r="L378" s="1"/>
    </row>
    <row r="379" spans="12:12" ht="13" x14ac:dyDescent="0.15">
      <c r="L379" s="1"/>
    </row>
    <row r="380" spans="12:12" ht="13" x14ac:dyDescent="0.15">
      <c r="L380" s="1"/>
    </row>
    <row r="381" spans="12:12" ht="13" x14ac:dyDescent="0.15">
      <c r="L381" s="1"/>
    </row>
    <row r="382" spans="12:12" ht="13" x14ac:dyDescent="0.15">
      <c r="L382" s="1"/>
    </row>
    <row r="383" spans="12:12" ht="13" x14ac:dyDescent="0.15">
      <c r="L383" s="1"/>
    </row>
    <row r="384" spans="12:12" ht="13" x14ac:dyDescent="0.15">
      <c r="L384" s="1"/>
    </row>
    <row r="385" spans="12:12" ht="13" x14ac:dyDescent="0.15">
      <c r="L385" s="1"/>
    </row>
    <row r="386" spans="12:12" ht="13" x14ac:dyDescent="0.15">
      <c r="L386" s="1"/>
    </row>
    <row r="387" spans="12:12" ht="13" x14ac:dyDescent="0.15">
      <c r="L387" s="1"/>
    </row>
    <row r="388" spans="12:12" ht="13" x14ac:dyDescent="0.15">
      <c r="L388" s="1"/>
    </row>
    <row r="389" spans="12:12" ht="13" x14ac:dyDescent="0.15">
      <c r="L389" s="1"/>
    </row>
    <row r="390" spans="12:12" ht="13" x14ac:dyDescent="0.15">
      <c r="L390" s="1"/>
    </row>
    <row r="391" spans="12:12" ht="13" x14ac:dyDescent="0.15">
      <c r="L391" s="1"/>
    </row>
    <row r="392" spans="12:12" ht="13" x14ac:dyDescent="0.15">
      <c r="L392" s="1"/>
    </row>
    <row r="393" spans="12:12" ht="13" x14ac:dyDescent="0.15">
      <c r="L393" s="1"/>
    </row>
    <row r="394" spans="12:12" ht="13" x14ac:dyDescent="0.15">
      <c r="L394" s="1"/>
    </row>
    <row r="395" spans="12:12" ht="13" x14ac:dyDescent="0.15">
      <c r="L395" s="1"/>
    </row>
    <row r="396" spans="12:12" ht="13" x14ac:dyDescent="0.15">
      <c r="L396" s="1"/>
    </row>
    <row r="397" spans="12:12" ht="13" x14ac:dyDescent="0.15">
      <c r="L397" s="1"/>
    </row>
    <row r="398" spans="12:12" ht="13" x14ac:dyDescent="0.15">
      <c r="L398" s="1"/>
    </row>
    <row r="399" spans="12:12" ht="13" x14ac:dyDescent="0.15">
      <c r="L399" s="1"/>
    </row>
    <row r="400" spans="12:12" ht="13" x14ac:dyDescent="0.15">
      <c r="L400" s="1"/>
    </row>
    <row r="401" spans="12:12" ht="13" x14ac:dyDescent="0.15">
      <c r="L401" s="1"/>
    </row>
    <row r="402" spans="12:12" ht="13" x14ac:dyDescent="0.15">
      <c r="L402" s="1"/>
    </row>
    <row r="403" spans="12:12" ht="13" x14ac:dyDescent="0.15">
      <c r="L403" s="1"/>
    </row>
    <row r="404" spans="12:12" ht="13" x14ac:dyDescent="0.15">
      <c r="L404" s="1"/>
    </row>
    <row r="405" spans="12:12" ht="13" x14ac:dyDescent="0.15">
      <c r="L405" s="1"/>
    </row>
    <row r="406" spans="12:12" ht="13" x14ac:dyDescent="0.15">
      <c r="L406" s="1"/>
    </row>
    <row r="407" spans="12:12" ht="13" x14ac:dyDescent="0.15">
      <c r="L407" s="1"/>
    </row>
    <row r="408" spans="12:12" ht="13" x14ac:dyDescent="0.15">
      <c r="L408" s="1"/>
    </row>
    <row r="409" spans="12:12" ht="13" x14ac:dyDescent="0.15">
      <c r="L409" s="1"/>
    </row>
    <row r="410" spans="12:12" ht="13" x14ac:dyDescent="0.15">
      <c r="L410" s="1"/>
    </row>
    <row r="411" spans="12:12" ht="13" x14ac:dyDescent="0.15">
      <c r="L411" s="1"/>
    </row>
    <row r="412" spans="12:12" ht="13" x14ac:dyDescent="0.15">
      <c r="L412" s="1"/>
    </row>
    <row r="413" spans="12:12" ht="13" x14ac:dyDescent="0.15">
      <c r="L413" s="1"/>
    </row>
    <row r="414" spans="12:12" ht="13" x14ac:dyDescent="0.15">
      <c r="L414" s="1"/>
    </row>
    <row r="415" spans="12:12" ht="13" x14ac:dyDescent="0.15">
      <c r="L415" s="1"/>
    </row>
    <row r="416" spans="12:12" ht="13" x14ac:dyDescent="0.15">
      <c r="L416" s="1"/>
    </row>
    <row r="417" spans="12:12" ht="13" x14ac:dyDescent="0.15">
      <c r="L417" s="1"/>
    </row>
    <row r="418" spans="12:12" ht="13" x14ac:dyDescent="0.15">
      <c r="L418" s="1"/>
    </row>
    <row r="419" spans="12:12" ht="13" x14ac:dyDescent="0.15">
      <c r="L419" s="1"/>
    </row>
    <row r="420" spans="12:12" ht="13" x14ac:dyDescent="0.15">
      <c r="L420" s="1"/>
    </row>
    <row r="421" spans="12:12" ht="13" x14ac:dyDescent="0.15">
      <c r="L421" s="1"/>
    </row>
    <row r="422" spans="12:12" ht="13" x14ac:dyDescent="0.15">
      <c r="L422" s="1"/>
    </row>
    <row r="423" spans="12:12" ht="13" x14ac:dyDescent="0.15">
      <c r="L423" s="1"/>
    </row>
    <row r="424" spans="12:12" ht="13" x14ac:dyDescent="0.15">
      <c r="L424" s="1"/>
    </row>
    <row r="425" spans="12:12" ht="13" x14ac:dyDescent="0.15">
      <c r="L425" s="1"/>
    </row>
    <row r="426" spans="12:12" ht="13" x14ac:dyDescent="0.15">
      <c r="L426" s="1"/>
    </row>
    <row r="427" spans="12:12" ht="13" x14ac:dyDescent="0.15">
      <c r="L427" s="1"/>
    </row>
    <row r="428" spans="12:12" ht="13" x14ac:dyDescent="0.15">
      <c r="L428" s="1"/>
    </row>
    <row r="429" spans="12:12" ht="13" x14ac:dyDescent="0.15">
      <c r="L429" s="1"/>
    </row>
    <row r="430" spans="12:12" ht="13" x14ac:dyDescent="0.15">
      <c r="L430" s="1"/>
    </row>
    <row r="431" spans="12:12" ht="13" x14ac:dyDescent="0.15">
      <c r="L431" s="1"/>
    </row>
    <row r="432" spans="12:12" ht="13" x14ac:dyDescent="0.15">
      <c r="L432" s="1"/>
    </row>
    <row r="433" spans="12:12" ht="13" x14ac:dyDescent="0.15">
      <c r="L433" s="1"/>
    </row>
    <row r="434" spans="12:12" ht="13" x14ac:dyDescent="0.15">
      <c r="L434" s="1"/>
    </row>
    <row r="435" spans="12:12" ht="13" x14ac:dyDescent="0.15">
      <c r="L435" s="1"/>
    </row>
    <row r="436" spans="12:12" ht="13" x14ac:dyDescent="0.15">
      <c r="L436" s="1"/>
    </row>
    <row r="437" spans="12:12" ht="13" x14ac:dyDescent="0.15">
      <c r="L437" s="1"/>
    </row>
    <row r="438" spans="12:12" ht="13" x14ac:dyDescent="0.15">
      <c r="L438" s="1"/>
    </row>
    <row r="439" spans="12:12" ht="13" x14ac:dyDescent="0.15">
      <c r="L439" s="1"/>
    </row>
    <row r="440" spans="12:12" ht="13" x14ac:dyDescent="0.15">
      <c r="L440" s="1"/>
    </row>
    <row r="441" spans="12:12" ht="13" x14ac:dyDescent="0.15">
      <c r="L441" s="1"/>
    </row>
    <row r="442" spans="12:12" ht="13" x14ac:dyDescent="0.15">
      <c r="L442" s="1"/>
    </row>
    <row r="443" spans="12:12" ht="13" x14ac:dyDescent="0.15">
      <c r="L443" s="1"/>
    </row>
    <row r="444" spans="12:12" ht="13" x14ac:dyDescent="0.15">
      <c r="L444" s="1"/>
    </row>
    <row r="445" spans="12:12" ht="13" x14ac:dyDescent="0.15">
      <c r="L445" s="1"/>
    </row>
    <row r="446" spans="12:12" ht="13" x14ac:dyDescent="0.15">
      <c r="L446" s="1"/>
    </row>
    <row r="447" spans="12:12" ht="13" x14ac:dyDescent="0.15">
      <c r="L447" s="1"/>
    </row>
    <row r="448" spans="12:12" ht="13" x14ac:dyDescent="0.15">
      <c r="L448" s="1"/>
    </row>
    <row r="449" spans="12:12" ht="13" x14ac:dyDescent="0.15">
      <c r="L449" s="1"/>
    </row>
    <row r="450" spans="12:12" ht="13" x14ac:dyDescent="0.15">
      <c r="L450" s="1"/>
    </row>
    <row r="451" spans="12:12" ht="13" x14ac:dyDescent="0.15">
      <c r="L451" s="1"/>
    </row>
    <row r="452" spans="12:12" ht="13" x14ac:dyDescent="0.15">
      <c r="L452" s="1"/>
    </row>
    <row r="453" spans="12:12" ht="13" x14ac:dyDescent="0.15">
      <c r="L453" s="1"/>
    </row>
    <row r="454" spans="12:12" ht="13" x14ac:dyDescent="0.15">
      <c r="L454" s="1"/>
    </row>
    <row r="455" spans="12:12" ht="13" x14ac:dyDescent="0.15">
      <c r="L455" s="1"/>
    </row>
    <row r="456" spans="12:12" ht="13" x14ac:dyDescent="0.15">
      <c r="L456" s="1"/>
    </row>
    <row r="457" spans="12:12" ht="13" x14ac:dyDescent="0.15">
      <c r="L457" s="1"/>
    </row>
    <row r="458" spans="12:12" ht="13" x14ac:dyDescent="0.15">
      <c r="L458" s="1"/>
    </row>
    <row r="459" spans="12:12" ht="13" x14ac:dyDescent="0.15">
      <c r="L459" s="1"/>
    </row>
    <row r="460" spans="12:12" ht="13" x14ac:dyDescent="0.15">
      <c r="L460" s="1"/>
    </row>
    <row r="461" spans="12:12" ht="13" x14ac:dyDescent="0.15">
      <c r="L461" s="1"/>
    </row>
    <row r="462" spans="12:12" ht="13" x14ac:dyDescent="0.15">
      <c r="L462" s="1"/>
    </row>
    <row r="463" spans="12:12" ht="13" x14ac:dyDescent="0.15">
      <c r="L463" s="1"/>
    </row>
    <row r="464" spans="12:12" ht="13" x14ac:dyDescent="0.15">
      <c r="L464" s="1"/>
    </row>
    <row r="465" spans="12:12" ht="13" x14ac:dyDescent="0.15">
      <c r="L465" s="1"/>
    </row>
    <row r="466" spans="12:12" ht="13" x14ac:dyDescent="0.15">
      <c r="L466" s="1"/>
    </row>
    <row r="467" spans="12:12" ht="13" x14ac:dyDescent="0.15">
      <c r="L467" s="1"/>
    </row>
    <row r="468" spans="12:12" ht="13" x14ac:dyDescent="0.15">
      <c r="L468" s="1"/>
    </row>
    <row r="469" spans="12:12" ht="13" x14ac:dyDescent="0.15">
      <c r="L469" s="1"/>
    </row>
    <row r="470" spans="12:12" ht="13" x14ac:dyDescent="0.15">
      <c r="L470" s="1"/>
    </row>
    <row r="471" spans="12:12" ht="13" x14ac:dyDescent="0.15">
      <c r="L471" s="1"/>
    </row>
    <row r="472" spans="12:12" ht="13" x14ac:dyDescent="0.15">
      <c r="L472" s="1"/>
    </row>
    <row r="473" spans="12:12" ht="13" x14ac:dyDescent="0.15">
      <c r="L473" s="1"/>
    </row>
    <row r="474" spans="12:12" ht="13" x14ac:dyDescent="0.15">
      <c r="L474" s="1"/>
    </row>
    <row r="475" spans="12:12" ht="13" x14ac:dyDescent="0.15">
      <c r="L475" s="1"/>
    </row>
    <row r="476" spans="12:12" ht="13" x14ac:dyDescent="0.15">
      <c r="L476" s="1"/>
    </row>
    <row r="477" spans="12:12" ht="13" x14ac:dyDescent="0.15">
      <c r="L477" s="1"/>
    </row>
    <row r="478" spans="12:12" ht="13" x14ac:dyDescent="0.15">
      <c r="L478" s="1"/>
    </row>
    <row r="479" spans="12:12" ht="13" x14ac:dyDescent="0.15">
      <c r="L479" s="1"/>
    </row>
    <row r="480" spans="12:12" ht="13" x14ac:dyDescent="0.15">
      <c r="L480" s="1"/>
    </row>
    <row r="481" spans="12:12" ht="13" x14ac:dyDescent="0.15">
      <c r="L481" s="1"/>
    </row>
    <row r="482" spans="12:12" ht="13" x14ac:dyDescent="0.15">
      <c r="L482" s="1"/>
    </row>
    <row r="483" spans="12:12" ht="13" x14ac:dyDescent="0.15">
      <c r="L483" s="1"/>
    </row>
    <row r="484" spans="12:12" ht="13" x14ac:dyDescent="0.15">
      <c r="L484" s="1"/>
    </row>
    <row r="485" spans="12:12" ht="13" x14ac:dyDescent="0.15">
      <c r="L485" s="1"/>
    </row>
    <row r="486" spans="12:12" ht="13" x14ac:dyDescent="0.15">
      <c r="L486" s="1"/>
    </row>
    <row r="487" spans="12:12" ht="13" x14ac:dyDescent="0.15">
      <c r="L487" s="1"/>
    </row>
    <row r="488" spans="12:12" ht="13" x14ac:dyDescent="0.15">
      <c r="L488" s="1"/>
    </row>
    <row r="489" spans="12:12" ht="13" x14ac:dyDescent="0.15">
      <c r="L489" s="1"/>
    </row>
    <row r="490" spans="12:12" ht="13" x14ac:dyDescent="0.15">
      <c r="L490" s="1"/>
    </row>
    <row r="491" spans="12:12" ht="13" x14ac:dyDescent="0.15">
      <c r="L491" s="1"/>
    </row>
    <row r="492" spans="12:12" ht="13" x14ac:dyDescent="0.15">
      <c r="L492" s="1"/>
    </row>
    <row r="493" spans="12:12" ht="13" x14ac:dyDescent="0.15">
      <c r="L493" s="1"/>
    </row>
    <row r="494" spans="12:12" ht="13" x14ac:dyDescent="0.15">
      <c r="L494" s="1"/>
    </row>
    <row r="495" spans="12:12" ht="13" x14ac:dyDescent="0.15">
      <c r="L495" s="1"/>
    </row>
    <row r="496" spans="12:12" ht="13" x14ac:dyDescent="0.15">
      <c r="L496" s="1"/>
    </row>
    <row r="497" spans="12:12" ht="13" x14ac:dyDescent="0.15">
      <c r="L497" s="1"/>
    </row>
    <row r="498" spans="12:12" ht="13" x14ac:dyDescent="0.15">
      <c r="L498" s="1"/>
    </row>
    <row r="499" spans="12:12" ht="13" x14ac:dyDescent="0.15">
      <c r="L499" s="1"/>
    </row>
    <row r="500" spans="12:12" ht="13" x14ac:dyDescent="0.15">
      <c r="L500" s="1"/>
    </row>
    <row r="501" spans="12:12" ht="13" x14ac:dyDescent="0.15">
      <c r="L501" s="1"/>
    </row>
    <row r="502" spans="12:12" ht="13" x14ac:dyDescent="0.15">
      <c r="L502" s="1"/>
    </row>
    <row r="503" spans="12:12" ht="13" x14ac:dyDescent="0.15">
      <c r="L503" s="1"/>
    </row>
    <row r="504" spans="12:12" ht="13" x14ac:dyDescent="0.15">
      <c r="L504" s="1"/>
    </row>
    <row r="505" spans="12:12" ht="13" x14ac:dyDescent="0.15">
      <c r="L505" s="1"/>
    </row>
    <row r="506" spans="12:12" ht="13" x14ac:dyDescent="0.15">
      <c r="L506" s="1"/>
    </row>
    <row r="507" spans="12:12" ht="13" x14ac:dyDescent="0.15">
      <c r="L507" s="1"/>
    </row>
    <row r="508" spans="12:12" ht="13" x14ac:dyDescent="0.15">
      <c r="L508" s="1"/>
    </row>
    <row r="509" spans="12:12" ht="13" x14ac:dyDescent="0.15">
      <c r="L509" s="1"/>
    </row>
    <row r="510" spans="12:12" ht="13" x14ac:dyDescent="0.15">
      <c r="L510" s="1"/>
    </row>
    <row r="511" spans="12:12" ht="13" x14ac:dyDescent="0.15">
      <c r="L511" s="1"/>
    </row>
    <row r="512" spans="12:12" ht="13" x14ac:dyDescent="0.15">
      <c r="L512" s="1"/>
    </row>
    <row r="513" spans="12:12" ht="13" x14ac:dyDescent="0.15">
      <c r="L513" s="1"/>
    </row>
    <row r="514" spans="12:12" ht="13" x14ac:dyDescent="0.15">
      <c r="L514" s="1"/>
    </row>
    <row r="515" spans="12:12" ht="13" x14ac:dyDescent="0.15">
      <c r="L515" s="1"/>
    </row>
    <row r="516" spans="12:12" ht="13" x14ac:dyDescent="0.15">
      <c r="L516" s="1"/>
    </row>
    <row r="517" spans="12:12" ht="13" x14ac:dyDescent="0.15">
      <c r="L517" s="1"/>
    </row>
    <row r="518" spans="12:12" ht="13" x14ac:dyDescent="0.15">
      <c r="L518" s="1"/>
    </row>
    <row r="519" spans="12:12" ht="13" x14ac:dyDescent="0.15">
      <c r="L519" s="1"/>
    </row>
    <row r="520" spans="12:12" ht="13" x14ac:dyDescent="0.15">
      <c r="L520" s="1"/>
    </row>
    <row r="521" spans="12:12" ht="13" x14ac:dyDescent="0.15">
      <c r="L521" s="1"/>
    </row>
    <row r="522" spans="12:12" ht="13" x14ac:dyDescent="0.15">
      <c r="L522" s="1"/>
    </row>
    <row r="523" spans="12:12" ht="13" x14ac:dyDescent="0.15">
      <c r="L523" s="1"/>
    </row>
    <row r="524" spans="12:12" ht="13" x14ac:dyDescent="0.15">
      <c r="L524" s="1"/>
    </row>
    <row r="525" spans="12:12" ht="13" x14ac:dyDescent="0.15">
      <c r="L525" s="1"/>
    </row>
    <row r="526" spans="12:12" ht="13" x14ac:dyDescent="0.15">
      <c r="L526" s="1"/>
    </row>
    <row r="527" spans="12:12" ht="13" x14ac:dyDescent="0.15">
      <c r="L527" s="1"/>
    </row>
    <row r="528" spans="12:12" ht="13" x14ac:dyDescent="0.15">
      <c r="L528" s="1"/>
    </row>
    <row r="529" spans="12:12" ht="13" x14ac:dyDescent="0.15">
      <c r="L529" s="1"/>
    </row>
    <row r="530" spans="12:12" ht="13" x14ac:dyDescent="0.15">
      <c r="L530" s="1"/>
    </row>
    <row r="531" spans="12:12" ht="13" x14ac:dyDescent="0.15">
      <c r="L531" s="1"/>
    </row>
    <row r="532" spans="12:12" ht="13" x14ac:dyDescent="0.15">
      <c r="L532" s="1"/>
    </row>
    <row r="533" spans="12:12" ht="13" x14ac:dyDescent="0.15">
      <c r="L533" s="1"/>
    </row>
    <row r="534" spans="12:12" ht="13" x14ac:dyDescent="0.15">
      <c r="L534" s="1"/>
    </row>
    <row r="535" spans="12:12" ht="13" x14ac:dyDescent="0.15">
      <c r="L535" s="1"/>
    </row>
    <row r="536" spans="12:12" ht="13" x14ac:dyDescent="0.15">
      <c r="L536" s="1"/>
    </row>
    <row r="537" spans="12:12" ht="13" x14ac:dyDescent="0.15">
      <c r="L537" s="1"/>
    </row>
    <row r="538" spans="12:12" ht="13" x14ac:dyDescent="0.15">
      <c r="L538" s="1"/>
    </row>
    <row r="539" spans="12:12" ht="13" x14ac:dyDescent="0.15">
      <c r="L539" s="1"/>
    </row>
    <row r="540" spans="12:12" ht="13" x14ac:dyDescent="0.15">
      <c r="L540" s="1"/>
    </row>
    <row r="541" spans="12:12" ht="13" x14ac:dyDescent="0.15">
      <c r="L541" s="1"/>
    </row>
    <row r="542" spans="12:12" ht="13" x14ac:dyDescent="0.15">
      <c r="L542" s="1"/>
    </row>
    <row r="543" spans="12:12" ht="13" x14ac:dyDescent="0.15">
      <c r="L543" s="1"/>
    </row>
    <row r="544" spans="12:12" ht="13" x14ac:dyDescent="0.15">
      <c r="L544" s="1"/>
    </row>
    <row r="545" spans="12:12" ht="13" x14ac:dyDescent="0.15">
      <c r="L545" s="1"/>
    </row>
    <row r="546" spans="12:12" ht="13" x14ac:dyDescent="0.15">
      <c r="L546" s="1"/>
    </row>
    <row r="547" spans="12:12" ht="13" x14ac:dyDescent="0.15">
      <c r="L547" s="1"/>
    </row>
    <row r="548" spans="12:12" ht="13" x14ac:dyDescent="0.15">
      <c r="L548" s="1"/>
    </row>
    <row r="549" spans="12:12" ht="13" x14ac:dyDescent="0.15">
      <c r="L549" s="1"/>
    </row>
    <row r="550" spans="12:12" ht="13" x14ac:dyDescent="0.15">
      <c r="L550" s="1"/>
    </row>
    <row r="551" spans="12:12" ht="13" x14ac:dyDescent="0.15">
      <c r="L551" s="1"/>
    </row>
    <row r="552" spans="12:12" ht="13" x14ac:dyDescent="0.15">
      <c r="L552" s="1"/>
    </row>
    <row r="553" spans="12:12" ht="13" x14ac:dyDescent="0.15">
      <c r="L553" s="1"/>
    </row>
    <row r="554" spans="12:12" ht="13" x14ac:dyDescent="0.15">
      <c r="L554" s="1"/>
    </row>
    <row r="555" spans="12:12" ht="13" x14ac:dyDescent="0.15">
      <c r="L555" s="1"/>
    </row>
    <row r="556" spans="12:12" ht="13" x14ac:dyDescent="0.15">
      <c r="L556" s="1"/>
    </row>
    <row r="557" spans="12:12" ht="13" x14ac:dyDescent="0.15">
      <c r="L557" s="1"/>
    </row>
    <row r="558" spans="12:12" ht="13" x14ac:dyDescent="0.15">
      <c r="L558" s="1"/>
    </row>
    <row r="559" spans="12:12" ht="13" x14ac:dyDescent="0.15">
      <c r="L559" s="1"/>
    </row>
    <row r="560" spans="12:12" ht="13" x14ac:dyDescent="0.15">
      <c r="L560" s="1"/>
    </row>
    <row r="561" spans="12:12" ht="13" x14ac:dyDescent="0.15">
      <c r="L561" s="1"/>
    </row>
    <row r="562" spans="12:12" ht="13" x14ac:dyDescent="0.15">
      <c r="L562" s="1"/>
    </row>
    <row r="563" spans="12:12" ht="13" x14ac:dyDescent="0.15">
      <c r="L563" s="1"/>
    </row>
    <row r="564" spans="12:12" ht="13" x14ac:dyDescent="0.15">
      <c r="L564" s="1"/>
    </row>
    <row r="565" spans="12:12" ht="13" x14ac:dyDescent="0.15">
      <c r="L565" s="1"/>
    </row>
    <row r="566" spans="12:12" ht="13" x14ac:dyDescent="0.15">
      <c r="L566" s="1"/>
    </row>
    <row r="567" spans="12:12" ht="13" x14ac:dyDescent="0.15">
      <c r="L567" s="1"/>
    </row>
    <row r="568" spans="12:12" ht="13" x14ac:dyDescent="0.15">
      <c r="L568" s="1"/>
    </row>
    <row r="569" spans="12:12" ht="13" x14ac:dyDescent="0.15">
      <c r="L569" s="1"/>
    </row>
    <row r="570" spans="12:12" ht="13" x14ac:dyDescent="0.15">
      <c r="L570" s="1"/>
    </row>
    <row r="571" spans="12:12" ht="13" x14ac:dyDescent="0.15">
      <c r="L571" s="1"/>
    </row>
    <row r="572" spans="12:12" ht="13" x14ac:dyDescent="0.15">
      <c r="L572" s="1"/>
    </row>
    <row r="573" spans="12:12" ht="13" x14ac:dyDescent="0.15">
      <c r="L573" s="1"/>
    </row>
    <row r="574" spans="12:12" ht="13" x14ac:dyDescent="0.15">
      <c r="L574" s="1"/>
    </row>
    <row r="575" spans="12:12" ht="13" x14ac:dyDescent="0.15">
      <c r="L575" s="1"/>
    </row>
    <row r="576" spans="12:12" ht="13" x14ac:dyDescent="0.15">
      <c r="L576" s="1"/>
    </row>
    <row r="577" spans="12:12" ht="13" x14ac:dyDescent="0.15">
      <c r="L577" s="1"/>
    </row>
    <row r="578" spans="12:12" ht="13" x14ac:dyDescent="0.15">
      <c r="L578" s="1"/>
    </row>
    <row r="579" spans="12:12" ht="13" x14ac:dyDescent="0.15">
      <c r="L579" s="1"/>
    </row>
    <row r="580" spans="12:12" ht="13" x14ac:dyDescent="0.15">
      <c r="L580" s="1"/>
    </row>
    <row r="581" spans="12:12" ht="13" x14ac:dyDescent="0.15">
      <c r="L581" s="1"/>
    </row>
    <row r="582" spans="12:12" ht="13" x14ac:dyDescent="0.15">
      <c r="L582" s="1"/>
    </row>
    <row r="583" spans="12:12" ht="13" x14ac:dyDescent="0.15">
      <c r="L583" s="1"/>
    </row>
    <row r="584" spans="12:12" ht="13" x14ac:dyDescent="0.15">
      <c r="L584" s="1"/>
    </row>
    <row r="585" spans="12:12" ht="13" x14ac:dyDescent="0.15">
      <c r="L585" s="1"/>
    </row>
    <row r="586" spans="12:12" ht="13" x14ac:dyDescent="0.15">
      <c r="L586" s="1"/>
    </row>
    <row r="587" spans="12:12" ht="13" x14ac:dyDescent="0.15">
      <c r="L587" s="1"/>
    </row>
    <row r="588" spans="12:12" ht="13" x14ac:dyDescent="0.15">
      <c r="L588" s="1"/>
    </row>
    <row r="589" spans="12:12" ht="13" x14ac:dyDescent="0.15">
      <c r="L589" s="1"/>
    </row>
    <row r="590" spans="12:12" ht="13" x14ac:dyDescent="0.15">
      <c r="L590" s="1"/>
    </row>
    <row r="591" spans="12:12" ht="13" x14ac:dyDescent="0.15">
      <c r="L591" s="1"/>
    </row>
    <row r="592" spans="12:12" ht="13" x14ac:dyDescent="0.15">
      <c r="L592" s="1"/>
    </row>
    <row r="593" spans="12:12" ht="13" x14ac:dyDescent="0.15">
      <c r="L593" s="1"/>
    </row>
    <row r="594" spans="12:12" ht="13" x14ac:dyDescent="0.15">
      <c r="L594" s="1"/>
    </row>
    <row r="595" spans="12:12" ht="13" x14ac:dyDescent="0.15">
      <c r="L595" s="1"/>
    </row>
    <row r="596" spans="12:12" ht="13" x14ac:dyDescent="0.15">
      <c r="L596" s="1"/>
    </row>
    <row r="597" spans="12:12" ht="13" x14ac:dyDescent="0.15">
      <c r="L597" s="1"/>
    </row>
    <row r="598" spans="12:12" ht="13" x14ac:dyDescent="0.15">
      <c r="L598" s="1"/>
    </row>
    <row r="599" spans="12:12" ht="13" x14ac:dyDescent="0.15">
      <c r="L599" s="1"/>
    </row>
    <row r="600" spans="12:12" ht="13" x14ac:dyDescent="0.15">
      <c r="L600" s="1"/>
    </row>
    <row r="601" spans="12:12" ht="13" x14ac:dyDescent="0.15">
      <c r="L601" s="1"/>
    </row>
    <row r="602" spans="12:12" ht="13" x14ac:dyDescent="0.15">
      <c r="L602" s="1"/>
    </row>
    <row r="603" spans="12:12" ht="13" x14ac:dyDescent="0.15">
      <c r="L603" s="1"/>
    </row>
    <row r="604" spans="12:12" ht="13" x14ac:dyDescent="0.15">
      <c r="L604" s="1"/>
    </row>
    <row r="605" spans="12:12" ht="13" x14ac:dyDescent="0.15">
      <c r="L605" s="1"/>
    </row>
    <row r="606" spans="12:12" ht="13" x14ac:dyDescent="0.15">
      <c r="L606" s="1"/>
    </row>
    <row r="607" spans="12:12" ht="13" x14ac:dyDescent="0.15">
      <c r="L607" s="1"/>
    </row>
    <row r="608" spans="12:12" ht="13" x14ac:dyDescent="0.15">
      <c r="L608" s="1"/>
    </row>
    <row r="609" spans="12:12" ht="13" x14ac:dyDescent="0.15">
      <c r="L609" s="1"/>
    </row>
    <row r="610" spans="12:12" ht="13" x14ac:dyDescent="0.15">
      <c r="L610" s="1"/>
    </row>
    <row r="611" spans="12:12" ht="13" x14ac:dyDescent="0.15">
      <c r="L611" s="1"/>
    </row>
    <row r="612" spans="12:12" ht="13" x14ac:dyDescent="0.15">
      <c r="L612" s="1"/>
    </row>
    <row r="613" spans="12:12" ht="13" x14ac:dyDescent="0.15">
      <c r="L613" s="1"/>
    </row>
    <row r="614" spans="12:12" ht="13" x14ac:dyDescent="0.15">
      <c r="L614" s="1"/>
    </row>
    <row r="615" spans="12:12" ht="13" x14ac:dyDescent="0.15">
      <c r="L615" s="1"/>
    </row>
    <row r="616" spans="12:12" ht="13" x14ac:dyDescent="0.15">
      <c r="L616" s="1"/>
    </row>
    <row r="617" spans="12:12" ht="13" x14ac:dyDescent="0.15">
      <c r="L617" s="1"/>
    </row>
    <row r="618" spans="12:12" ht="13" x14ac:dyDescent="0.15">
      <c r="L618" s="1"/>
    </row>
    <row r="619" spans="12:12" ht="13" x14ac:dyDescent="0.15">
      <c r="L619" s="1"/>
    </row>
    <row r="620" spans="12:12" ht="13" x14ac:dyDescent="0.15">
      <c r="L620" s="1"/>
    </row>
    <row r="621" spans="12:12" ht="13" x14ac:dyDescent="0.15">
      <c r="L621" s="1"/>
    </row>
    <row r="622" spans="12:12" ht="13" x14ac:dyDescent="0.15">
      <c r="L622" s="1"/>
    </row>
    <row r="623" spans="12:12" ht="13" x14ac:dyDescent="0.15">
      <c r="L623" s="1"/>
    </row>
    <row r="624" spans="12:12" ht="13" x14ac:dyDescent="0.15">
      <c r="L624" s="1"/>
    </row>
    <row r="625" spans="12:12" ht="13" x14ac:dyDescent="0.15">
      <c r="L625" s="1"/>
    </row>
    <row r="626" spans="12:12" ht="13" x14ac:dyDescent="0.15">
      <c r="L626" s="1"/>
    </row>
    <row r="627" spans="12:12" ht="13" x14ac:dyDescent="0.15">
      <c r="L627" s="1"/>
    </row>
    <row r="628" spans="12:12" ht="13" x14ac:dyDescent="0.15">
      <c r="L628" s="1"/>
    </row>
    <row r="629" spans="12:12" ht="13" x14ac:dyDescent="0.15">
      <c r="L629" s="1"/>
    </row>
    <row r="630" spans="12:12" ht="13" x14ac:dyDescent="0.15">
      <c r="L630" s="1"/>
    </row>
    <row r="631" spans="12:12" ht="13" x14ac:dyDescent="0.15">
      <c r="L631" s="1"/>
    </row>
    <row r="632" spans="12:12" ht="13" x14ac:dyDescent="0.15">
      <c r="L632" s="1"/>
    </row>
    <row r="633" spans="12:12" ht="13" x14ac:dyDescent="0.15">
      <c r="L633" s="1"/>
    </row>
    <row r="634" spans="12:12" ht="13" x14ac:dyDescent="0.15">
      <c r="L634" s="1"/>
    </row>
    <row r="635" spans="12:12" ht="13" x14ac:dyDescent="0.15">
      <c r="L635" s="1"/>
    </row>
    <row r="636" spans="12:12" ht="13" x14ac:dyDescent="0.15">
      <c r="L636" s="1"/>
    </row>
    <row r="637" spans="12:12" ht="13" x14ac:dyDescent="0.15">
      <c r="L637" s="1"/>
    </row>
    <row r="638" spans="12:12" ht="13" x14ac:dyDescent="0.15">
      <c r="L638" s="1"/>
    </row>
    <row r="639" spans="12:12" ht="13" x14ac:dyDescent="0.15">
      <c r="L639" s="1"/>
    </row>
    <row r="640" spans="12:12" ht="13" x14ac:dyDescent="0.15">
      <c r="L640" s="1"/>
    </row>
    <row r="641" spans="12:12" ht="13" x14ac:dyDescent="0.15">
      <c r="L641" s="1"/>
    </row>
    <row r="642" spans="12:12" ht="13" x14ac:dyDescent="0.15">
      <c r="L642" s="1"/>
    </row>
    <row r="643" spans="12:12" ht="13" x14ac:dyDescent="0.15">
      <c r="L643" s="1"/>
    </row>
    <row r="644" spans="12:12" ht="13" x14ac:dyDescent="0.15">
      <c r="L644" s="1"/>
    </row>
    <row r="645" spans="12:12" ht="13" x14ac:dyDescent="0.15">
      <c r="L645" s="1"/>
    </row>
    <row r="646" spans="12:12" ht="13" x14ac:dyDescent="0.15">
      <c r="L646" s="1"/>
    </row>
    <row r="647" spans="12:12" ht="13" x14ac:dyDescent="0.15">
      <c r="L647" s="1"/>
    </row>
    <row r="648" spans="12:12" ht="13" x14ac:dyDescent="0.15">
      <c r="L648" s="1"/>
    </row>
    <row r="649" spans="12:12" ht="13" x14ac:dyDescent="0.15">
      <c r="L649" s="1"/>
    </row>
    <row r="650" spans="12:12" ht="13" x14ac:dyDescent="0.15">
      <c r="L650" s="1"/>
    </row>
    <row r="651" spans="12:12" ht="13" x14ac:dyDescent="0.15">
      <c r="L651" s="1"/>
    </row>
    <row r="652" spans="12:12" ht="13" x14ac:dyDescent="0.15">
      <c r="L652" s="1"/>
    </row>
    <row r="653" spans="12:12" ht="13" x14ac:dyDescent="0.15">
      <c r="L653" s="1"/>
    </row>
    <row r="654" spans="12:12" ht="13" x14ac:dyDescent="0.15">
      <c r="L654" s="1"/>
    </row>
    <row r="655" spans="12:12" ht="13" x14ac:dyDescent="0.15">
      <c r="L655" s="1"/>
    </row>
    <row r="656" spans="12:12" ht="13" x14ac:dyDescent="0.15">
      <c r="L656" s="1"/>
    </row>
    <row r="657" spans="12:12" ht="13" x14ac:dyDescent="0.15">
      <c r="L657" s="1"/>
    </row>
    <row r="658" spans="12:12" ht="13" x14ac:dyDescent="0.15">
      <c r="L658" s="1"/>
    </row>
    <row r="659" spans="12:12" ht="13" x14ac:dyDescent="0.15">
      <c r="L659" s="1"/>
    </row>
    <row r="660" spans="12:12" ht="13" x14ac:dyDescent="0.15">
      <c r="L660" s="1"/>
    </row>
    <row r="661" spans="12:12" ht="13" x14ac:dyDescent="0.15">
      <c r="L661" s="1"/>
    </row>
    <row r="662" spans="12:12" ht="13" x14ac:dyDescent="0.15">
      <c r="L662" s="1"/>
    </row>
    <row r="663" spans="12:12" ht="13" x14ac:dyDescent="0.15">
      <c r="L663" s="1"/>
    </row>
    <row r="664" spans="12:12" ht="13" x14ac:dyDescent="0.15">
      <c r="L664" s="1"/>
    </row>
    <row r="665" spans="12:12" ht="13" x14ac:dyDescent="0.15">
      <c r="L665" s="1"/>
    </row>
    <row r="666" spans="12:12" ht="13" x14ac:dyDescent="0.15">
      <c r="L666" s="1"/>
    </row>
    <row r="667" spans="12:12" ht="13" x14ac:dyDescent="0.15">
      <c r="L667" s="1"/>
    </row>
    <row r="668" spans="12:12" ht="13" x14ac:dyDescent="0.15">
      <c r="L668" s="1"/>
    </row>
    <row r="669" spans="12:12" ht="13" x14ac:dyDescent="0.15">
      <c r="L669" s="1"/>
    </row>
    <row r="670" spans="12:12" ht="13" x14ac:dyDescent="0.15">
      <c r="L670" s="1"/>
    </row>
    <row r="671" spans="12:12" ht="13" x14ac:dyDescent="0.15">
      <c r="L671" s="1"/>
    </row>
    <row r="672" spans="12:12" ht="13" x14ac:dyDescent="0.15">
      <c r="L672" s="1"/>
    </row>
    <row r="673" spans="12:12" ht="13" x14ac:dyDescent="0.15">
      <c r="L673" s="1"/>
    </row>
    <row r="674" spans="12:12" ht="13" x14ac:dyDescent="0.15">
      <c r="L674" s="1"/>
    </row>
    <row r="675" spans="12:12" ht="13" x14ac:dyDescent="0.15">
      <c r="L675" s="1"/>
    </row>
    <row r="676" spans="12:12" ht="13" x14ac:dyDescent="0.15">
      <c r="L676" s="1"/>
    </row>
    <row r="677" spans="12:12" ht="13" x14ac:dyDescent="0.15">
      <c r="L677" s="1"/>
    </row>
    <row r="678" spans="12:12" ht="13" x14ac:dyDescent="0.15">
      <c r="L678" s="1"/>
    </row>
    <row r="679" spans="12:12" ht="13" x14ac:dyDescent="0.15">
      <c r="L679" s="1"/>
    </row>
    <row r="680" spans="12:12" ht="13" x14ac:dyDescent="0.15">
      <c r="L680" s="1"/>
    </row>
    <row r="681" spans="12:12" ht="13" x14ac:dyDescent="0.15">
      <c r="L681" s="1"/>
    </row>
    <row r="682" spans="12:12" ht="13" x14ac:dyDescent="0.15">
      <c r="L682" s="1"/>
    </row>
    <row r="683" spans="12:12" ht="13" x14ac:dyDescent="0.15">
      <c r="L683" s="1"/>
    </row>
    <row r="684" spans="12:12" ht="13" x14ac:dyDescent="0.15">
      <c r="L684" s="1"/>
    </row>
    <row r="685" spans="12:12" ht="13" x14ac:dyDescent="0.15">
      <c r="L685" s="1"/>
    </row>
    <row r="686" spans="12:12" ht="13" x14ac:dyDescent="0.15">
      <c r="L686" s="1"/>
    </row>
    <row r="687" spans="12:12" ht="13" x14ac:dyDescent="0.15">
      <c r="L687" s="1"/>
    </row>
    <row r="688" spans="12:12" ht="13" x14ac:dyDescent="0.15">
      <c r="L688" s="1"/>
    </row>
    <row r="689" spans="12:12" ht="13" x14ac:dyDescent="0.15">
      <c r="L689" s="1"/>
    </row>
    <row r="690" spans="12:12" ht="13" x14ac:dyDescent="0.15">
      <c r="L690" s="1"/>
    </row>
    <row r="691" spans="12:12" ht="13" x14ac:dyDescent="0.15">
      <c r="L691" s="1"/>
    </row>
    <row r="692" spans="12:12" ht="13" x14ac:dyDescent="0.15">
      <c r="L692" s="1"/>
    </row>
    <row r="693" spans="12:12" ht="13" x14ac:dyDescent="0.15">
      <c r="L693" s="1"/>
    </row>
    <row r="694" spans="12:12" ht="13" x14ac:dyDescent="0.15">
      <c r="L694" s="1"/>
    </row>
    <row r="695" spans="12:12" ht="13" x14ac:dyDescent="0.15">
      <c r="L695" s="1"/>
    </row>
    <row r="696" spans="12:12" ht="13" x14ac:dyDescent="0.15">
      <c r="L696" s="1"/>
    </row>
    <row r="697" spans="12:12" ht="13" x14ac:dyDescent="0.15">
      <c r="L697" s="1"/>
    </row>
    <row r="698" spans="12:12" ht="13" x14ac:dyDescent="0.15">
      <c r="L698" s="1"/>
    </row>
    <row r="699" spans="12:12" ht="13" x14ac:dyDescent="0.15">
      <c r="L699" s="1"/>
    </row>
    <row r="700" spans="12:12" ht="13" x14ac:dyDescent="0.15">
      <c r="L700" s="1"/>
    </row>
    <row r="701" spans="12:12" ht="13" x14ac:dyDescent="0.15">
      <c r="L701" s="1"/>
    </row>
    <row r="702" spans="12:12" ht="13" x14ac:dyDescent="0.15">
      <c r="L702" s="1"/>
    </row>
    <row r="703" spans="12:12" ht="13" x14ac:dyDescent="0.15">
      <c r="L703" s="1"/>
    </row>
    <row r="704" spans="12:12" ht="13" x14ac:dyDescent="0.15">
      <c r="L704" s="1"/>
    </row>
    <row r="705" spans="12:12" ht="13" x14ac:dyDescent="0.15">
      <c r="L705" s="1"/>
    </row>
    <row r="706" spans="12:12" ht="13" x14ac:dyDescent="0.15">
      <c r="L706" s="1"/>
    </row>
    <row r="707" spans="12:12" ht="13" x14ac:dyDescent="0.15">
      <c r="L707" s="1"/>
    </row>
    <row r="708" spans="12:12" ht="13" x14ac:dyDescent="0.15">
      <c r="L708" s="1"/>
    </row>
    <row r="709" spans="12:12" ht="13" x14ac:dyDescent="0.15">
      <c r="L709" s="1"/>
    </row>
    <row r="710" spans="12:12" ht="13" x14ac:dyDescent="0.15">
      <c r="L710" s="1"/>
    </row>
    <row r="711" spans="12:12" ht="13" x14ac:dyDescent="0.15">
      <c r="L711" s="1"/>
    </row>
    <row r="712" spans="12:12" ht="13" x14ac:dyDescent="0.15">
      <c r="L712" s="1"/>
    </row>
    <row r="713" spans="12:12" ht="13" x14ac:dyDescent="0.15">
      <c r="L713" s="1"/>
    </row>
    <row r="714" spans="12:12" ht="13" x14ac:dyDescent="0.15">
      <c r="L714" s="1"/>
    </row>
    <row r="715" spans="12:12" ht="13" x14ac:dyDescent="0.15">
      <c r="L715" s="1"/>
    </row>
    <row r="716" spans="12:12" ht="13" x14ac:dyDescent="0.15">
      <c r="L716" s="1"/>
    </row>
    <row r="717" spans="12:12" ht="13" x14ac:dyDescent="0.15">
      <c r="L717" s="1"/>
    </row>
    <row r="718" spans="12:12" ht="13" x14ac:dyDescent="0.15">
      <c r="L718" s="1"/>
    </row>
    <row r="719" spans="12:12" ht="13" x14ac:dyDescent="0.15">
      <c r="L719" s="1"/>
    </row>
    <row r="720" spans="12:12" ht="13" x14ac:dyDescent="0.15">
      <c r="L720" s="1"/>
    </row>
    <row r="721" spans="12:12" ht="13" x14ac:dyDescent="0.15">
      <c r="L721" s="1"/>
    </row>
    <row r="722" spans="12:12" ht="13" x14ac:dyDescent="0.15">
      <c r="L722" s="1"/>
    </row>
    <row r="723" spans="12:12" ht="13" x14ac:dyDescent="0.15">
      <c r="L723" s="1"/>
    </row>
    <row r="724" spans="12:12" ht="13" x14ac:dyDescent="0.15">
      <c r="L724" s="1"/>
    </row>
    <row r="725" spans="12:12" ht="13" x14ac:dyDescent="0.15">
      <c r="L725" s="1"/>
    </row>
    <row r="726" spans="12:12" ht="13" x14ac:dyDescent="0.15">
      <c r="L726" s="1"/>
    </row>
    <row r="727" spans="12:12" ht="13" x14ac:dyDescent="0.15">
      <c r="L727" s="1"/>
    </row>
    <row r="728" spans="12:12" ht="13" x14ac:dyDescent="0.15">
      <c r="L728" s="1"/>
    </row>
    <row r="729" spans="12:12" ht="13" x14ac:dyDescent="0.15">
      <c r="L729" s="1"/>
    </row>
    <row r="730" spans="12:12" ht="13" x14ac:dyDescent="0.15">
      <c r="L730" s="1"/>
    </row>
    <row r="731" spans="12:12" ht="13" x14ac:dyDescent="0.15">
      <c r="L731" s="1"/>
    </row>
    <row r="732" spans="12:12" ht="13" x14ac:dyDescent="0.15">
      <c r="L732" s="1"/>
    </row>
    <row r="733" spans="12:12" ht="13" x14ac:dyDescent="0.15">
      <c r="L733" s="1"/>
    </row>
    <row r="734" spans="12:12" ht="13" x14ac:dyDescent="0.15">
      <c r="L734" s="1"/>
    </row>
    <row r="735" spans="12:12" ht="13" x14ac:dyDescent="0.15">
      <c r="L735" s="1"/>
    </row>
    <row r="736" spans="12:12" ht="13" x14ac:dyDescent="0.15">
      <c r="L736" s="1"/>
    </row>
    <row r="737" spans="12:12" ht="13" x14ac:dyDescent="0.15">
      <c r="L737" s="1"/>
    </row>
    <row r="738" spans="12:12" ht="13" x14ac:dyDescent="0.15">
      <c r="L738" s="1"/>
    </row>
    <row r="739" spans="12:12" ht="13" x14ac:dyDescent="0.15">
      <c r="L739" s="1"/>
    </row>
    <row r="740" spans="12:12" ht="13" x14ac:dyDescent="0.15">
      <c r="L740" s="1"/>
    </row>
    <row r="741" spans="12:12" ht="13" x14ac:dyDescent="0.15">
      <c r="L741" s="1"/>
    </row>
    <row r="742" spans="12:12" ht="13" x14ac:dyDescent="0.15">
      <c r="L742" s="1"/>
    </row>
    <row r="743" spans="12:12" ht="13" x14ac:dyDescent="0.15">
      <c r="L743" s="1"/>
    </row>
    <row r="744" spans="12:12" ht="13" x14ac:dyDescent="0.15">
      <c r="L744" s="1"/>
    </row>
    <row r="745" spans="12:12" ht="13" x14ac:dyDescent="0.15">
      <c r="L745" s="1"/>
    </row>
    <row r="746" spans="12:12" ht="13" x14ac:dyDescent="0.15">
      <c r="L746" s="1"/>
    </row>
    <row r="747" spans="12:12" ht="13" x14ac:dyDescent="0.15">
      <c r="L747" s="1"/>
    </row>
    <row r="748" spans="12:12" ht="13" x14ac:dyDescent="0.15">
      <c r="L748" s="1"/>
    </row>
    <row r="749" spans="12:12" ht="13" x14ac:dyDescent="0.15">
      <c r="L749" s="1"/>
    </row>
    <row r="750" spans="12:12" ht="13" x14ac:dyDescent="0.15">
      <c r="L750" s="1"/>
    </row>
    <row r="751" spans="12:12" ht="13" x14ac:dyDescent="0.15">
      <c r="L751" s="1"/>
    </row>
    <row r="752" spans="12:12" ht="13" x14ac:dyDescent="0.15">
      <c r="L752" s="1"/>
    </row>
    <row r="753" spans="12:12" ht="13" x14ac:dyDescent="0.15">
      <c r="L753" s="1"/>
    </row>
    <row r="754" spans="12:12" ht="13" x14ac:dyDescent="0.15">
      <c r="L754" s="1"/>
    </row>
    <row r="755" spans="12:12" ht="13" x14ac:dyDescent="0.15">
      <c r="L755" s="1"/>
    </row>
    <row r="756" spans="12:12" ht="13" x14ac:dyDescent="0.15">
      <c r="L756" s="1"/>
    </row>
    <row r="757" spans="12:12" ht="13" x14ac:dyDescent="0.15">
      <c r="L757" s="1"/>
    </row>
    <row r="758" spans="12:12" ht="13" x14ac:dyDescent="0.15">
      <c r="L758" s="1"/>
    </row>
    <row r="759" spans="12:12" ht="13" x14ac:dyDescent="0.15">
      <c r="L759" s="1"/>
    </row>
    <row r="760" spans="12:12" ht="13" x14ac:dyDescent="0.15">
      <c r="L760" s="1"/>
    </row>
    <row r="761" spans="12:12" ht="13" x14ac:dyDescent="0.15">
      <c r="L761" s="1"/>
    </row>
    <row r="762" spans="12:12" ht="13" x14ac:dyDescent="0.15">
      <c r="L762" s="1"/>
    </row>
    <row r="763" spans="12:12" ht="13" x14ac:dyDescent="0.15">
      <c r="L763" s="1"/>
    </row>
    <row r="764" spans="12:12" ht="13" x14ac:dyDescent="0.15">
      <c r="L764" s="1"/>
    </row>
    <row r="765" spans="12:12" ht="13" x14ac:dyDescent="0.15">
      <c r="L765" s="1"/>
    </row>
    <row r="766" spans="12:12" ht="13" x14ac:dyDescent="0.15">
      <c r="L766" s="1"/>
    </row>
    <row r="767" spans="12:12" ht="13" x14ac:dyDescent="0.15">
      <c r="L767" s="1"/>
    </row>
    <row r="768" spans="12:12" ht="13" x14ac:dyDescent="0.15">
      <c r="L768" s="1"/>
    </row>
    <row r="769" spans="12:12" ht="13" x14ac:dyDescent="0.15">
      <c r="L769" s="1"/>
    </row>
    <row r="770" spans="12:12" ht="13" x14ac:dyDescent="0.15">
      <c r="L770" s="1"/>
    </row>
    <row r="771" spans="12:12" ht="13" x14ac:dyDescent="0.15">
      <c r="L771" s="1"/>
    </row>
    <row r="772" spans="12:12" ht="13" x14ac:dyDescent="0.15">
      <c r="L772" s="1"/>
    </row>
    <row r="773" spans="12:12" ht="13" x14ac:dyDescent="0.15">
      <c r="L773" s="1"/>
    </row>
    <row r="774" spans="12:12" ht="13" x14ac:dyDescent="0.15">
      <c r="L774" s="1"/>
    </row>
    <row r="775" spans="12:12" ht="13" x14ac:dyDescent="0.15">
      <c r="L775" s="1"/>
    </row>
    <row r="776" spans="12:12" ht="13" x14ac:dyDescent="0.15">
      <c r="L776" s="1"/>
    </row>
    <row r="777" spans="12:12" ht="13" x14ac:dyDescent="0.15">
      <c r="L777" s="1"/>
    </row>
    <row r="778" spans="12:12" ht="13" x14ac:dyDescent="0.15">
      <c r="L778" s="1"/>
    </row>
    <row r="779" spans="12:12" ht="13" x14ac:dyDescent="0.15">
      <c r="L779" s="1"/>
    </row>
    <row r="780" spans="12:12" ht="13" x14ac:dyDescent="0.15">
      <c r="L780" s="1"/>
    </row>
    <row r="781" spans="12:12" ht="13" x14ac:dyDescent="0.15">
      <c r="L781" s="1"/>
    </row>
    <row r="782" spans="12:12" ht="13" x14ac:dyDescent="0.15">
      <c r="L782" s="1"/>
    </row>
    <row r="783" spans="12:12" ht="13" x14ac:dyDescent="0.15">
      <c r="L783" s="1"/>
    </row>
    <row r="784" spans="12:12" ht="13" x14ac:dyDescent="0.15">
      <c r="L784" s="1"/>
    </row>
    <row r="785" spans="12:12" ht="13" x14ac:dyDescent="0.15">
      <c r="L785" s="1"/>
    </row>
    <row r="786" spans="12:12" ht="13" x14ac:dyDescent="0.15">
      <c r="L786" s="1"/>
    </row>
    <row r="787" spans="12:12" ht="13" x14ac:dyDescent="0.15">
      <c r="L787" s="1"/>
    </row>
    <row r="788" spans="12:12" ht="13" x14ac:dyDescent="0.15">
      <c r="L788" s="1"/>
    </row>
    <row r="789" spans="12:12" ht="13" x14ac:dyDescent="0.15">
      <c r="L789" s="1"/>
    </row>
    <row r="790" spans="12:12" ht="13" x14ac:dyDescent="0.15">
      <c r="L790" s="1"/>
    </row>
    <row r="791" spans="12:12" ht="13" x14ac:dyDescent="0.15">
      <c r="L791" s="1"/>
    </row>
    <row r="792" spans="12:12" ht="13" x14ac:dyDescent="0.15">
      <c r="L792" s="1"/>
    </row>
    <row r="793" spans="12:12" ht="13" x14ac:dyDescent="0.15">
      <c r="L793" s="1"/>
    </row>
    <row r="794" spans="12:12" ht="13" x14ac:dyDescent="0.15">
      <c r="L794" s="1"/>
    </row>
    <row r="795" spans="12:12" ht="13" x14ac:dyDescent="0.15">
      <c r="L795" s="1"/>
    </row>
    <row r="796" spans="12:12" ht="13" x14ac:dyDescent="0.15">
      <c r="L796" s="1"/>
    </row>
    <row r="797" spans="12:12" ht="13" x14ac:dyDescent="0.15">
      <c r="L797" s="1"/>
    </row>
    <row r="798" spans="12:12" ht="13" x14ac:dyDescent="0.15">
      <c r="L798" s="1"/>
    </row>
    <row r="799" spans="12:12" ht="13" x14ac:dyDescent="0.15">
      <c r="L799" s="1"/>
    </row>
    <row r="800" spans="12:12" ht="13" x14ac:dyDescent="0.15">
      <c r="L800" s="1"/>
    </row>
    <row r="801" spans="12:12" ht="13" x14ac:dyDescent="0.15">
      <c r="L801" s="1"/>
    </row>
    <row r="802" spans="12:12" ht="13" x14ac:dyDescent="0.15">
      <c r="L802" s="1"/>
    </row>
    <row r="803" spans="12:12" ht="13" x14ac:dyDescent="0.15">
      <c r="L803" s="1"/>
    </row>
    <row r="804" spans="12:12" ht="13" x14ac:dyDescent="0.15">
      <c r="L804" s="1"/>
    </row>
    <row r="805" spans="12:12" ht="13" x14ac:dyDescent="0.15">
      <c r="L805" s="1"/>
    </row>
    <row r="806" spans="12:12" ht="13" x14ac:dyDescent="0.15">
      <c r="L806" s="1"/>
    </row>
    <row r="807" spans="12:12" ht="13" x14ac:dyDescent="0.15">
      <c r="L807" s="1"/>
    </row>
    <row r="808" spans="12:12" ht="13" x14ac:dyDescent="0.15">
      <c r="L808" s="1"/>
    </row>
    <row r="809" spans="12:12" ht="13" x14ac:dyDescent="0.15">
      <c r="L809" s="1"/>
    </row>
    <row r="810" spans="12:12" ht="13" x14ac:dyDescent="0.15">
      <c r="L810" s="1"/>
    </row>
    <row r="811" spans="12:12" ht="13" x14ac:dyDescent="0.15">
      <c r="L811" s="1"/>
    </row>
    <row r="812" spans="12:12" ht="13" x14ac:dyDescent="0.15">
      <c r="L812" s="1"/>
    </row>
    <row r="813" spans="12:12" ht="13" x14ac:dyDescent="0.15">
      <c r="L813" s="1"/>
    </row>
    <row r="814" spans="12:12" ht="13" x14ac:dyDescent="0.15">
      <c r="L814" s="1"/>
    </row>
    <row r="815" spans="12:12" ht="13" x14ac:dyDescent="0.15">
      <c r="L815" s="1"/>
    </row>
    <row r="816" spans="12:12" ht="13" x14ac:dyDescent="0.15">
      <c r="L816" s="1"/>
    </row>
    <row r="817" spans="12:12" ht="13" x14ac:dyDescent="0.15">
      <c r="L817" s="1"/>
    </row>
    <row r="818" spans="12:12" ht="13" x14ac:dyDescent="0.15">
      <c r="L818" s="1"/>
    </row>
    <row r="819" spans="12:12" ht="13" x14ac:dyDescent="0.15">
      <c r="L819" s="1"/>
    </row>
    <row r="820" spans="12:12" ht="13" x14ac:dyDescent="0.15">
      <c r="L820" s="1"/>
    </row>
    <row r="821" spans="12:12" ht="13" x14ac:dyDescent="0.15">
      <c r="L821" s="1"/>
    </row>
    <row r="822" spans="12:12" ht="13" x14ac:dyDescent="0.15">
      <c r="L822" s="1"/>
    </row>
    <row r="823" spans="12:12" ht="13" x14ac:dyDescent="0.15">
      <c r="L823" s="1"/>
    </row>
    <row r="824" spans="12:12" ht="13" x14ac:dyDescent="0.15">
      <c r="L824" s="1"/>
    </row>
    <row r="825" spans="12:12" ht="13" x14ac:dyDescent="0.15">
      <c r="L825" s="1"/>
    </row>
    <row r="826" spans="12:12" ht="13" x14ac:dyDescent="0.15">
      <c r="L826" s="1"/>
    </row>
    <row r="827" spans="12:12" ht="13" x14ac:dyDescent="0.15">
      <c r="L827" s="1"/>
    </row>
    <row r="828" spans="12:12" ht="13" x14ac:dyDescent="0.15">
      <c r="L828" s="1"/>
    </row>
    <row r="829" spans="12:12" ht="13" x14ac:dyDescent="0.15">
      <c r="L829" s="1"/>
    </row>
    <row r="830" spans="12:12" ht="13" x14ac:dyDescent="0.15">
      <c r="L830" s="1"/>
    </row>
    <row r="831" spans="12:12" ht="13" x14ac:dyDescent="0.15">
      <c r="L831" s="1"/>
    </row>
    <row r="832" spans="12:12" ht="13" x14ac:dyDescent="0.15">
      <c r="L832" s="1"/>
    </row>
    <row r="833" spans="12:12" ht="13" x14ac:dyDescent="0.15">
      <c r="L833" s="1"/>
    </row>
    <row r="834" spans="12:12" ht="13" x14ac:dyDescent="0.15">
      <c r="L834" s="1"/>
    </row>
    <row r="835" spans="12:12" ht="13" x14ac:dyDescent="0.15">
      <c r="L835" s="1"/>
    </row>
    <row r="836" spans="12:12" ht="13" x14ac:dyDescent="0.15">
      <c r="L836" s="1"/>
    </row>
    <row r="837" spans="12:12" ht="13" x14ac:dyDescent="0.15">
      <c r="L837" s="1"/>
    </row>
    <row r="838" spans="12:12" ht="13" x14ac:dyDescent="0.15">
      <c r="L838" s="1"/>
    </row>
    <row r="839" spans="12:12" ht="13" x14ac:dyDescent="0.15">
      <c r="L839" s="1"/>
    </row>
    <row r="840" spans="12:12" ht="13" x14ac:dyDescent="0.15">
      <c r="L840" s="1"/>
    </row>
    <row r="841" spans="12:12" ht="13" x14ac:dyDescent="0.15">
      <c r="L841" s="1"/>
    </row>
    <row r="842" spans="12:12" ht="13" x14ac:dyDescent="0.15">
      <c r="L842" s="1"/>
    </row>
    <row r="843" spans="12:12" ht="13" x14ac:dyDescent="0.15">
      <c r="L843" s="1"/>
    </row>
    <row r="844" spans="12:12" ht="13" x14ac:dyDescent="0.15">
      <c r="L844" s="1"/>
    </row>
    <row r="845" spans="12:12" ht="13" x14ac:dyDescent="0.15">
      <c r="L845" s="1"/>
    </row>
    <row r="846" spans="12:12" ht="13" x14ac:dyDescent="0.15">
      <c r="L846" s="1"/>
    </row>
    <row r="847" spans="12:12" ht="13" x14ac:dyDescent="0.15">
      <c r="L847" s="1"/>
    </row>
    <row r="848" spans="12:12" ht="13" x14ac:dyDescent="0.15">
      <c r="L848" s="1"/>
    </row>
    <row r="849" spans="12:12" ht="13" x14ac:dyDescent="0.15">
      <c r="L849" s="1"/>
    </row>
    <row r="850" spans="12:12" ht="13" x14ac:dyDescent="0.15">
      <c r="L850" s="1"/>
    </row>
    <row r="851" spans="12:12" ht="13" x14ac:dyDescent="0.15">
      <c r="L851" s="1"/>
    </row>
    <row r="852" spans="12:12" ht="13" x14ac:dyDescent="0.15">
      <c r="L852" s="1"/>
    </row>
    <row r="853" spans="12:12" ht="13" x14ac:dyDescent="0.15">
      <c r="L853" s="1"/>
    </row>
    <row r="854" spans="12:12" ht="13" x14ac:dyDescent="0.15">
      <c r="L854" s="1"/>
    </row>
    <row r="855" spans="12:12" ht="13" x14ac:dyDescent="0.15">
      <c r="L855" s="1"/>
    </row>
    <row r="856" spans="12:12" ht="13" x14ac:dyDescent="0.15">
      <c r="L856" s="1"/>
    </row>
    <row r="857" spans="12:12" ht="13" x14ac:dyDescent="0.15">
      <c r="L857" s="1"/>
    </row>
    <row r="858" spans="12:12" ht="13" x14ac:dyDescent="0.15">
      <c r="L858" s="1"/>
    </row>
    <row r="859" spans="12:12" ht="13" x14ac:dyDescent="0.15">
      <c r="L859" s="1"/>
    </row>
    <row r="860" spans="12:12" ht="13" x14ac:dyDescent="0.15">
      <c r="L860" s="1"/>
    </row>
    <row r="861" spans="12:12" ht="13" x14ac:dyDescent="0.15">
      <c r="L861" s="1"/>
    </row>
    <row r="862" spans="12:12" ht="13" x14ac:dyDescent="0.15">
      <c r="L862" s="1"/>
    </row>
    <row r="863" spans="12:12" ht="13" x14ac:dyDescent="0.15">
      <c r="L863" s="1"/>
    </row>
    <row r="864" spans="12:12" ht="13" x14ac:dyDescent="0.15">
      <c r="L864" s="1"/>
    </row>
    <row r="865" spans="12:12" ht="13" x14ac:dyDescent="0.15">
      <c r="L865" s="1"/>
    </row>
    <row r="866" spans="12:12" ht="13" x14ac:dyDescent="0.15">
      <c r="L866" s="1"/>
    </row>
    <row r="867" spans="12:12" ht="13" x14ac:dyDescent="0.15">
      <c r="L867" s="1"/>
    </row>
    <row r="868" spans="12:12" ht="13" x14ac:dyDescent="0.15">
      <c r="L868" s="1"/>
    </row>
    <row r="869" spans="12:12" ht="13" x14ac:dyDescent="0.15">
      <c r="L869" s="1"/>
    </row>
    <row r="870" spans="12:12" ht="13" x14ac:dyDescent="0.15">
      <c r="L870" s="1"/>
    </row>
    <row r="871" spans="12:12" ht="13" x14ac:dyDescent="0.15">
      <c r="L871" s="1"/>
    </row>
    <row r="872" spans="12:12" ht="13" x14ac:dyDescent="0.15">
      <c r="L872" s="1"/>
    </row>
    <row r="873" spans="12:12" ht="13" x14ac:dyDescent="0.15">
      <c r="L873" s="1"/>
    </row>
    <row r="874" spans="12:12" ht="13" x14ac:dyDescent="0.15">
      <c r="L874" s="1"/>
    </row>
    <row r="875" spans="12:12" ht="13" x14ac:dyDescent="0.15">
      <c r="L875" s="1"/>
    </row>
    <row r="876" spans="12:12" ht="13" x14ac:dyDescent="0.15">
      <c r="L876" s="1"/>
    </row>
    <row r="877" spans="12:12" ht="13" x14ac:dyDescent="0.15">
      <c r="L877" s="1"/>
    </row>
    <row r="878" spans="12:12" ht="13" x14ac:dyDescent="0.15">
      <c r="L878" s="1"/>
    </row>
    <row r="879" spans="12:12" ht="13" x14ac:dyDescent="0.15">
      <c r="L879" s="1"/>
    </row>
    <row r="880" spans="12:12" ht="13" x14ac:dyDescent="0.15">
      <c r="L880" s="1"/>
    </row>
    <row r="881" spans="12:12" ht="13" x14ac:dyDescent="0.15">
      <c r="L881" s="1"/>
    </row>
    <row r="882" spans="12:12" ht="13" x14ac:dyDescent="0.15">
      <c r="L882" s="1"/>
    </row>
    <row r="883" spans="12:12" ht="13" x14ac:dyDescent="0.15">
      <c r="L883" s="1"/>
    </row>
    <row r="884" spans="12:12" ht="13" x14ac:dyDescent="0.15">
      <c r="L884" s="1"/>
    </row>
    <row r="885" spans="12:12" ht="13" x14ac:dyDescent="0.15">
      <c r="L885" s="1"/>
    </row>
    <row r="886" spans="12:12" ht="13" x14ac:dyDescent="0.15">
      <c r="L886" s="1"/>
    </row>
    <row r="887" spans="12:12" ht="13" x14ac:dyDescent="0.15">
      <c r="L887" s="1"/>
    </row>
    <row r="888" spans="12:12" ht="13" x14ac:dyDescent="0.15">
      <c r="L888" s="1"/>
    </row>
    <row r="889" spans="12:12" ht="13" x14ac:dyDescent="0.15">
      <c r="L889" s="1"/>
    </row>
    <row r="890" spans="12:12" ht="13" x14ac:dyDescent="0.15">
      <c r="L890" s="1"/>
    </row>
    <row r="891" spans="12:12" ht="13" x14ac:dyDescent="0.15">
      <c r="L891" s="1"/>
    </row>
    <row r="892" spans="12:12" ht="13" x14ac:dyDescent="0.15">
      <c r="L892" s="1"/>
    </row>
    <row r="893" spans="12:12" ht="13" x14ac:dyDescent="0.15">
      <c r="L893" s="1"/>
    </row>
    <row r="894" spans="12:12" ht="13" x14ac:dyDescent="0.15">
      <c r="L894" s="1"/>
    </row>
    <row r="895" spans="12:12" ht="13" x14ac:dyDescent="0.15">
      <c r="L895" s="1"/>
    </row>
    <row r="896" spans="12:12" ht="13" x14ac:dyDescent="0.15">
      <c r="L896" s="1"/>
    </row>
    <row r="897" spans="12:12" ht="13" x14ac:dyDescent="0.15">
      <c r="L897" s="1"/>
    </row>
    <row r="898" spans="12:12" ht="13" x14ac:dyDescent="0.15">
      <c r="L898" s="1"/>
    </row>
    <row r="899" spans="12:12" ht="13" x14ac:dyDescent="0.15">
      <c r="L899" s="1"/>
    </row>
    <row r="900" spans="12:12" ht="13" x14ac:dyDescent="0.15">
      <c r="L900" s="1"/>
    </row>
    <row r="901" spans="12:12" ht="13" x14ac:dyDescent="0.15">
      <c r="L901" s="1"/>
    </row>
    <row r="902" spans="12:12" ht="13" x14ac:dyDescent="0.15">
      <c r="L902" s="1"/>
    </row>
    <row r="903" spans="12:12" ht="13" x14ac:dyDescent="0.15">
      <c r="L903" s="1"/>
    </row>
    <row r="904" spans="12:12" ht="13" x14ac:dyDescent="0.15">
      <c r="L904" s="1"/>
    </row>
    <row r="905" spans="12:12" ht="13" x14ac:dyDescent="0.15">
      <c r="L905" s="1"/>
    </row>
    <row r="906" spans="12:12" ht="13" x14ac:dyDescent="0.15">
      <c r="L906" s="1"/>
    </row>
    <row r="907" spans="12:12" ht="13" x14ac:dyDescent="0.15">
      <c r="L907" s="1"/>
    </row>
    <row r="908" spans="12:12" ht="13" x14ac:dyDescent="0.15">
      <c r="L908" s="1"/>
    </row>
    <row r="909" spans="12:12" ht="13" x14ac:dyDescent="0.15">
      <c r="L909" s="1"/>
    </row>
    <row r="910" spans="12:12" ht="13" x14ac:dyDescent="0.15">
      <c r="L910" s="1"/>
    </row>
    <row r="911" spans="12:12" ht="13" x14ac:dyDescent="0.15">
      <c r="L911" s="1"/>
    </row>
    <row r="912" spans="12:12" ht="13" x14ac:dyDescent="0.15">
      <c r="L912" s="1"/>
    </row>
    <row r="913" spans="12:12" ht="13" x14ac:dyDescent="0.15">
      <c r="L913" s="1"/>
    </row>
    <row r="914" spans="12:12" ht="13" x14ac:dyDescent="0.15">
      <c r="L914" s="1"/>
    </row>
    <row r="915" spans="12:12" ht="13" x14ac:dyDescent="0.15">
      <c r="L915" s="1"/>
    </row>
    <row r="916" spans="12:12" ht="13" x14ac:dyDescent="0.15">
      <c r="L916" s="1"/>
    </row>
    <row r="917" spans="12:12" ht="13" x14ac:dyDescent="0.15">
      <c r="L917" s="1"/>
    </row>
    <row r="918" spans="12:12" ht="13" x14ac:dyDescent="0.15">
      <c r="L918" s="1"/>
    </row>
    <row r="919" spans="12:12" ht="13" x14ac:dyDescent="0.15">
      <c r="L919" s="1"/>
    </row>
    <row r="920" spans="12:12" ht="13" x14ac:dyDescent="0.15">
      <c r="L920" s="1"/>
    </row>
    <row r="921" spans="12:12" ht="13" x14ac:dyDescent="0.15">
      <c r="L921" s="1"/>
    </row>
    <row r="922" spans="12:12" ht="13" x14ac:dyDescent="0.15">
      <c r="L922" s="1"/>
    </row>
    <row r="923" spans="12:12" ht="13" x14ac:dyDescent="0.15">
      <c r="L923" s="1"/>
    </row>
    <row r="924" spans="12:12" ht="13" x14ac:dyDescent="0.15">
      <c r="L924" s="1"/>
    </row>
    <row r="925" spans="12:12" ht="13" x14ac:dyDescent="0.15">
      <c r="L925" s="1"/>
    </row>
    <row r="926" spans="12:12" ht="13" x14ac:dyDescent="0.15">
      <c r="L926" s="1"/>
    </row>
    <row r="927" spans="12:12" ht="13" x14ac:dyDescent="0.15">
      <c r="L927" s="1"/>
    </row>
    <row r="928" spans="12:12" ht="13" x14ac:dyDescent="0.15">
      <c r="L928" s="1"/>
    </row>
    <row r="929" spans="12:12" ht="13" x14ac:dyDescent="0.15">
      <c r="L929" s="1"/>
    </row>
    <row r="930" spans="12:12" ht="13" x14ac:dyDescent="0.15">
      <c r="L930" s="1"/>
    </row>
    <row r="931" spans="12:12" ht="13" x14ac:dyDescent="0.15">
      <c r="L931" s="1"/>
    </row>
    <row r="932" spans="12:12" ht="13" x14ac:dyDescent="0.15">
      <c r="L932" s="1"/>
    </row>
    <row r="933" spans="12:12" ht="13" x14ac:dyDescent="0.15">
      <c r="L933" s="1"/>
    </row>
    <row r="934" spans="12:12" ht="13" x14ac:dyDescent="0.15">
      <c r="L934" s="1"/>
    </row>
    <row r="935" spans="12:12" ht="13" x14ac:dyDescent="0.15">
      <c r="L935" s="1"/>
    </row>
    <row r="936" spans="12:12" ht="13" x14ac:dyDescent="0.15">
      <c r="L936" s="1"/>
    </row>
    <row r="937" spans="12:12" ht="13" x14ac:dyDescent="0.15">
      <c r="L937" s="1"/>
    </row>
    <row r="938" spans="12:12" ht="13" x14ac:dyDescent="0.15">
      <c r="L938" s="1"/>
    </row>
    <row r="939" spans="12:12" ht="13" x14ac:dyDescent="0.15">
      <c r="L939" s="1"/>
    </row>
    <row r="940" spans="12:12" ht="13" x14ac:dyDescent="0.15">
      <c r="L940" s="1"/>
    </row>
    <row r="941" spans="12:12" ht="13" x14ac:dyDescent="0.15">
      <c r="L941" s="1"/>
    </row>
    <row r="942" spans="12:12" ht="13" x14ac:dyDescent="0.15">
      <c r="L942" s="1"/>
    </row>
    <row r="943" spans="12:12" ht="13" x14ac:dyDescent="0.15">
      <c r="L943" s="1"/>
    </row>
    <row r="944" spans="12:12" ht="13" x14ac:dyDescent="0.15">
      <c r="L944" s="1"/>
    </row>
    <row r="945" spans="12:12" ht="13" x14ac:dyDescent="0.15">
      <c r="L945" s="1"/>
    </row>
    <row r="946" spans="12:12" ht="13" x14ac:dyDescent="0.15">
      <c r="L946" s="1"/>
    </row>
    <row r="947" spans="12:12" ht="13" x14ac:dyDescent="0.15">
      <c r="L947" s="1"/>
    </row>
    <row r="948" spans="12:12" ht="13" x14ac:dyDescent="0.15">
      <c r="L948" s="1"/>
    </row>
    <row r="949" spans="12:12" ht="13" x14ac:dyDescent="0.15">
      <c r="L949" s="1"/>
    </row>
    <row r="950" spans="12:12" ht="13" x14ac:dyDescent="0.15">
      <c r="L950" s="1"/>
    </row>
    <row r="951" spans="12:12" ht="13" x14ac:dyDescent="0.15">
      <c r="L951" s="1"/>
    </row>
    <row r="952" spans="12:12" ht="13" x14ac:dyDescent="0.15">
      <c r="L952" s="1"/>
    </row>
    <row r="953" spans="12:12" ht="13" x14ac:dyDescent="0.15">
      <c r="L953" s="1"/>
    </row>
    <row r="954" spans="12:12" ht="13" x14ac:dyDescent="0.15">
      <c r="L954" s="1"/>
    </row>
    <row r="955" spans="12:12" ht="13" x14ac:dyDescent="0.15">
      <c r="L955" s="1"/>
    </row>
    <row r="956" spans="12:12" ht="13" x14ac:dyDescent="0.15">
      <c r="L956" s="1"/>
    </row>
    <row r="957" spans="12:12" ht="13" x14ac:dyDescent="0.15">
      <c r="L957" s="1"/>
    </row>
    <row r="958" spans="12:12" ht="13" x14ac:dyDescent="0.15">
      <c r="L958" s="1"/>
    </row>
    <row r="959" spans="12:12" ht="13" x14ac:dyDescent="0.15">
      <c r="L959" s="1"/>
    </row>
    <row r="960" spans="12:12" ht="13" x14ac:dyDescent="0.15">
      <c r="L960" s="1"/>
    </row>
    <row r="961" spans="12:12" ht="13" x14ac:dyDescent="0.15">
      <c r="L961" s="1"/>
    </row>
    <row r="962" spans="12:12" ht="13" x14ac:dyDescent="0.15">
      <c r="L962" s="1"/>
    </row>
    <row r="963" spans="12:12" ht="13" x14ac:dyDescent="0.15">
      <c r="L963" s="1"/>
    </row>
    <row r="964" spans="12:12" ht="13" x14ac:dyDescent="0.15">
      <c r="L964" s="1"/>
    </row>
    <row r="965" spans="12:12" ht="13" x14ac:dyDescent="0.15">
      <c r="L965" s="1"/>
    </row>
    <row r="966" spans="12:12" ht="13" x14ac:dyDescent="0.15">
      <c r="L966" s="1"/>
    </row>
    <row r="967" spans="12:12" ht="13" x14ac:dyDescent="0.15">
      <c r="L967" s="1"/>
    </row>
    <row r="968" spans="12:12" ht="13" x14ac:dyDescent="0.15">
      <c r="L968" s="1"/>
    </row>
    <row r="969" spans="12:12" ht="13" x14ac:dyDescent="0.15">
      <c r="L969" s="1"/>
    </row>
    <row r="970" spans="12:12" ht="13" x14ac:dyDescent="0.15">
      <c r="L970" s="1"/>
    </row>
    <row r="971" spans="12:12" ht="13" x14ac:dyDescent="0.15">
      <c r="L971" s="1"/>
    </row>
    <row r="972" spans="12:12" ht="13" x14ac:dyDescent="0.15">
      <c r="L972" s="1"/>
    </row>
    <row r="973" spans="12:12" ht="13" x14ac:dyDescent="0.15">
      <c r="L973" s="1"/>
    </row>
    <row r="974" spans="12:12" ht="13" x14ac:dyDescent="0.15">
      <c r="L974" s="1"/>
    </row>
    <row r="975" spans="12:12" ht="13" x14ac:dyDescent="0.15">
      <c r="L975" s="1"/>
    </row>
    <row r="976" spans="12:12" ht="13" x14ac:dyDescent="0.15">
      <c r="L976" s="1"/>
    </row>
    <row r="977" spans="12:12" ht="13" x14ac:dyDescent="0.15">
      <c r="L977" s="1"/>
    </row>
    <row r="978" spans="12:12" ht="13" x14ac:dyDescent="0.15">
      <c r="L978" s="1"/>
    </row>
    <row r="979" spans="12:12" ht="13" x14ac:dyDescent="0.15">
      <c r="L979" s="1"/>
    </row>
    <row r="980" spans="12:12" ht="13" x14ac:dyDescent="0.15">
      <c r="L980" s="1"/>
    </row>
    <row r="981" spans="12:12" ht="13" x14ac:dyDescent="0.15">
      <c r="L981" s="1"/>
    </row>
    <row r="982" spans="12:12" ht="13" x14ac:dyDescent="0.15">
      <c r="L982" s="1"/>
    </row>
    <row r="983" spans="12:12" ht="13" x14ac:dyDescent="0.15">
      <c r="L983" s="1"/>
    </row>
    <row r="984" spans="12:12" ht="13" x14ac:dyDescent="0.15">
      <c r="L984" s="1"/>
    </row>
    <row r="985" spans="12:12" ht="13" x14ac:dyDescent="0.15">
      <c r="L985" s="1"/>
    </row>
    <row r="986" spans="12:12" ht="13" x14ac:dyDescent="0.15">
      <c r="L986" s="1"/>
    </row>
    <row r="987" spans="12:12" ht="13" x14ac:dyDescent="0.15">
      <c r="L987" s="1"/>
    </row>
    <row r="988" spans="12:12" ht="13" x14ac:dyDescent="0.15">
      <c r="L988" s="1"/>
    </row>
    <row r="989" spans="12:12" ht="13" x14ac:dyDescent="0.15">
      <c r="L989" s="1"/>
    </row>
    <row r="990" spans="12:12" ht="13" x14ac:dyDescent="0.15">
      <c r="L990" s="1"/>
    </row>
    <row r="991" spans="12:12" ht="13" x14ac:dyDescent="0.15">
      <c r="L991" s="1"/>
    </row>
    <row r="992" spans="12:12" ht="13" x14ac:dyDescent="0.15">
      <c r="L992" s="1"/>
    </row>
    <row r="993" spans="12:12" ht="13" x14ac:dyDescent="0.15">
      <c r="L993" s="1"/>
    </row>
    <row r="994" spans="12:12" ht="13" x14ac:dyDescent="0.15">
      <c r="L994" s="1"/>
    </row>
    <row r="995" spans="12:12" ht="13" x14ac:dyDescent="0.15">
      <c r="L995" s="1"/>
    </row>
    <row r="996" spans="12:12" ht="13" x14ac:dyDescent="0.15">
      <c r="L996" s="1"/>
    </row>
    <row r="997" spans="12:12" ht="13" x14ac:dyDescent="0.15">
      <c r="L997" s="1"/>
    </row>
    <row r="998" spans="12:12" ht="13" x14ac:dyDescent="0.15">
      <c r="L998" s="1"/>
    </row>
    <row r="999" spans="12:12" ht="13" x14ac:dyDescent="0.15">
      <c r="L999" s="1"/>
    </row>
    <row r="1000" spans="12:12" ht="13" x14ac:dyDescent="0.15">
      <c r="L1000" s="1"/>
    </row>
  </sheetData>
  <mergeCells count="520">
    <mergeCell ref="A9:A10"/>
    <mergeCell ref="C7:C8"/>
    <mergeCell ref="C9:C10"/>
    <mergeCell ref="D9:D10"/>
    <mergeCell ref="E9:E10"/>
    <mergeCell ref="L9:L10"/>
    <mergeCell ref="M9:M10"/>
    <mergeCell ref="N9:N10"/>
    <mergeCell ref="O9:O10"/>
    <mergeCell ref="A7:A8"/>
    <mergeCell ref="D7:D8"/>
    <mergeCell ref="E7:E8"/>
    <mergeCell ref="F7:F8"/>
    <mergeCell ref="G7:G8"/>
    <mergeCell ref="H7:H8"/>
    <mergeCell ref="I11:I12"/>
    <mergeCell ref="J11:J12"/>
    <mergeCell ref="H9:H10"/>
    <mergeCell ref="I9:I10"/>
    <mergeCell ref="J9:J10"/>
    <mergeCell ref="K9:K10"/>
    <mergeCell ref="K11:K12"/>
    <mergeCell ref="L11:L12"/>
    <mergeCell ref="M11:M12"/>
    <mergeCell ref="N11:N12"/>
    <mergeCell ref="O11:O12"/>
    <mergeCell ref="F9:F10"/>
    <mergeCell ref="G9:G10"/>
    <mergeCell ref="F11:F12"/>
    <mergeCell ref="G11:G12"/>
    <mergeCell ref="H11:H12"/>
    <mergeCell ref="I17:I18"/>
    <mergeCell ref="N13:N14"/>
    <mergeCell ref="O13:O14"/>
    <mergeCell ref="G13:G14"/>
    <mergeCell ref="H13:H14"/>
    <mergeCell ref="I13:I14"/>
    <mergeCell ref="J13:J14"/>
    <mergeCell ref="K13:K14"/>
    <mergeCell ref="L13:L14"/>
    <mergeCell ref="M13:M14"/>
    <mergeCell ref="L17:L18"/>
    <mergeCell ref="M17:M18"/>
    <mergeCell ref="N17:N18"/>
    <mergeCell ref="O17:O18"/>
    <mergeCell ref="C17:C18"/>
    <mergeCell ref="D17:D18"/>
    <mergeCell ref="E17:E18"/>
    <mergeCell ref="F17:F18"/>
    <mergeCell ref="G17:G18"/>
    <mergeCell ref="H17:H18"/>
    <mergeCell ref="E11:E12"/>
    <mergeCell ref="D13:D14"/>
    <mergeCell ref="E13:E14"/>
    <mergeCell ref="F13:F14"/>
    <mergeCell ref="D15:D16"/>
    <mergeCell ref="E15:E16"/>
    <mergeCell ref="F15:F16"/>
    <mergeCell ref="I21:I22"/>
    <mergeCell ref="J21:J22"/>
    <mergeCell ref="K21:K22"/>
    <mergeCell ref="L21:L22"/>
    <mergeCell ref="A15:A16"/>
    <mergeCell ref="A17:A18"/>
    <mergeCell ref="A19:A20"/>
    <mergeCell ref="A21:A22"/>
    <mergeCell ref="J17:J18"/>
    <mergeCell ref="K17:K18"/>
    <mergeCell ref="D19:D20"/>
    <mergeCell ref="E19:E20"/>
    <mergeCell ref="F19:F20"/>
    <mergeCell ref="G19:G20"/>
    <mergeCell ref="A11:A12"/>
    <mergeCell ref="C11:C12"/>
    <mergeCell ref="A13:A14"/>
    <mergeCell ref="C13:C14"/>
    <mergeCell ref="C15:C16"/>
    <mergeCell ref="D11:D12"/>
    <mergeCell ref="M21:M22"/>
    <mergeCell ref="N21:N22"/>
    <mergeCell ref="O21:O22"/>
    <mergeCell ref="C19:C20"/>
    <mergeCell ref="C21:C22"/>
    <mergeCell ref="D21:D22"/>
    <mergeCell ref="E21:E22"/>
    <mergeCell ref="F21:F22"/>
    <mergeCell ref="G21:G22"/>
    <mergeCell ref="H21:H22"/>
    <mergeCell ref="O24:O25"/>
    <mergeCell ref="C24:C25"/>
    <mergeCell ref="D24:D25"/>
    <mergeCell ref="E24:E25"/>
    <mergeCell ref="F24:F25"/>
    <mergeCell ref="G24:G25"/>
    <mergeCell ref="H24:H25"/>
    <mergeCell ref="I24:I25"/>
    <mergeCell ref="I31:I32"/>
    <mergeCell ref="J24:J25"/>
    <mergeCell ref="K24:K25"/>
    <mergeCell ref="L24:L25"/>
    <mergeCell ref="M24:M25"/>
    <mergeCell ref="N24:N25"/>
    <mergeCell ref="C31:C32"/>
    <mergeCell ref="D31:D32"/>
    <mergeCell ref="E31:E32"/>
    <mergeCell ref="F31:F32"/>
    <mergeCell ref="G31:G32"/>
    <mergeCell ref="H31:H32"/>
    <mergeCell ref="J31:J32"/>
    <mergeCell ref="K31:K32"/>
    <mergeCell ref="L31:L32"/>
    <mergeCell ref="M31:M32"/>
    <mergeCell ref="N31:N32"/>
    <mergeCell ref="O31:O32"/>
    <mergeCell ref="K45:K47"/>
    <mergeCell ref="L45:L47"/>
    <mergeCell ref="M45:M47"/>
    <mergeCell ref="N45:N47"/>
    <mergeCell ref="O45:O47"/>
    <mergeCell ref="C45:C47"/>
    <mergeCell ref="D45:D47"/>
    <mergeCell ref="E45:E47"/>
    <mergeCell ref="F45:F47"/>
    <mergeCell ref="G45:G47"/>
    <mergeCell ref="O33:O34"/>
    <mergeCell ref="C33:C34"/>
    <mergeCell ref="D33:D34"/>
    <mergeCell ref="E33:E34"/>
    <mergeCell ref="F33:F34"/>
    <mergeCell ref="G33:G34"/>
    <mergeCell ref="H33:H34"/>
    <mergeCell ref="I33:I34"/>
    <mergeCell ref="I36:I37"/>
    <mergeCell ref="J33:J34"/>
    <mergeCell ref="K33:K34"/>
    <mergeCell ref="L33:L34"/>
    <mergeCell ref="M33:M34"/>
    <mergeCell ref="N33:N34"/>
    <mergeCell ref="C36:C37"/>
    <mergeCell ref="D36:D37"/>
    <mergeCell ref="E36:E37"/>
    <mergeCell ref="F36:F37"/>
    <mergeCell ref="G36:G37"/>
    <mergeCell ref="H36:H37"/>
    <mergeCell ref="J36:J37"/>
    <mergeCell ref="K36:K37"/>
    <mergeCell ref="L36:L37"/>
    <mergeCell ref="M36:M37"/>
    <mergeCell ref="N36:N37"/>
    <mergeCell ref="O36:O37"/>
    <mergeCell ref="M38:M40"/>
    <mergeCell ref="N38:N40"/>
    <mergeCell ref="O38:O40"/>
    <mergeCell ref="C38:C40"/>
    <mergeCell ref="D38:D40"/>
    <mergeCell ref="E38:E40"/>
    <mergeCell ref="F38:F40"/>
    <mergeCell ref="G38:G40"/>
    <mergeCell ref="H38:H40"/>
    <mergeCell ref="I38:I40"/>
    <mergeCell ref="E48:E50"/>
    <mergeCell ref="F48:F50"/>
    <mergeCell ref="G48:G50"/>
    <mergeCell ref="H48:H50"/>
    <mergeCell ref="I48:I50"/>
    <mergeCell ref="J38:J40"/>
    <mergeCell ref="J45:J47"/>
    <mergeCell ref="H45:H47"/>
    <mergeCell ref="I45:I47"/>
    <mergeCell ref="J48:J50"/>
    <mergeCell ref="K48:K50"/>
    <mergeCell ref="L48:L50"/>
    <mergeCell ref="M48:M50"/>
    <mergeCell ref="N48:N50"/>
    <mergeCell ref="O48:O50"/>
    <mergeCell ref="J26:J27"/>
    <mergeCell ref="K26:K27"/>
    <mergeCell ref="L26:L27"/>
    <mergeCell ref="M26:M27"/>
    <mergeCell ref="N26:N27"/>
    <mergeCell ref="J41:J43"/>
    <mergeCell ref="K41:K43"/>
    <mergeCell ref="L41:L43"/>
    <mergeCell ref="K38:K40"/>
    <mergeCell ref="L38:L40"/>
    <mergeCell ref="J51:J53"/>
    <mergeCell ref="K51:K53"/>
    <mergeCell ref="L51:L53"/>
    <mergeCell ref="M51:M53"/>
    <mergeCell ref="N51:N53"/>
    <mergeCell ref="A31:A32"/>
    <mergeCell ref="A33:A34"/>
    <mergeCell ref="A36:A37"/>
    <mergeCell ref="A38:A40"/>
    <mergeCell ref="A41:A43"/>
    <mergeCell ref="I55:I56"/>
    <mergeCell ref="A55:A56"/>
    <mergeCell ref="A24:A25"/>
    <mergeCell ref="A26:A27"/>
    <mergeCell ref="A29:A30"/>
    <mergeCell ref="I51:I53"/>
    <mergeCell ref="A45:A47"/>
    <mergeCell ref="A48:A50"/>
    <mergeCell ref="C48:C50"/>
    <mergeCell ref="D48:D50"/>
    <mergeCell ref="C55:C56"/>
    <mergeCell ref="D55:D56"/>
    <mergeCell ref="E55:E56"/>
    <mergeCell ref="F55:F56"/>
    <mergeCell ref="G55:G56"/>
    <mergeCell ref="H55:H56"/>
    <mergeCell ref="J55:J56"/>
    <mergeCell ref="K55:K56"/>
    <mergeCell ref="L55:L56"/>
    <mergeCell ref="M55:M56"/>
    <mergeCell ref="N55:N56"/>
    <mergeCell ref="O55:O56"/>
    <mergeCell ref="A57:A58"/>
    <mergeCell ref="C57:C58"/>
    <mergeCell ref="O51:O53"/>
    <mergeCell ref="A51:A53"/>
    <mergeCell ref="C51:C53"/>
    <mergeCell ref="D51:D53"/>
    <mergeCell ref="E51:E53"/>
    <mergeCell ref="F51:F53"/>
    <mergeCell ref="G51:G53"/>
    <mergeCell ref="H51:H53"/>
    <mergeCell ref="D59:D60"/>
    <mergeCell ref="E59:E60"/>
    <mergeCell ref="F59:F60"/>
    <mergeCell ref="G59:G60"/>
    <mergeCell ref="H59:H60"/>
    <mergeCell ref="I59:I60"/>
    <mergeCell ref="N57:N58"/>
    <mergeCell ref="O57:O58"/>
    <mergeCell ref="J59:J60"/>
    <mergeCell ref="K59:K60"/>
    <mergeCell ref="L59:L60"/>
    <mergeCell ref="M59:M60"/>
    <mergeCell ref="N59:N60"/>
    <mergeCell ref="O59:O60"/>
    <mergeCell ref="L63:L64"/>
    <mergeCell ref="M63:M64"/>
    <mergeCell ref="A59:A60"/>
    <mergeCell ref="H57:H58"/>
    <mergeCell ref="I57:I58"/>
    <mergeCell ref="J57:J58"/>
    <mergeCell ref="K57:K58"/>
    <mergeCell ref="L57:L58"/>
    <mergeCell ref="M57:M58"/>
    <mergeCell ref="C59:C60"/>
    <mergeCell ref="K67:K68"/>
    <mergeCell ref="L67:L68"/>
    <mergeCell ref="M67:M68"/>
    <mergeCell ref="D57:D58"/>
    <mergeCell ref="E57:E58"/>
    <mergeCell ref="F57:F58"/>
    <mergeCell ref="G57:G58"/>
    <mergeCell ref="I63:I64"/>
    <mergeCell ref="J63:J64"/>
    <mergeCell ref="K63:K64"/>
    <mergeCell ref="L65:L66"/>
    <mergeCell ref="M65:M66"/>
    <mergeCell ref="N65:N66"/>
    <mergeCell ref="O65:O66"/>
    <mergeCell ref="A63:A64"/>
    <mergeCell ref="D63:D64"/>
    <mergeCell ref="E63:E64"/>
    <mergeCell ref="F63:F64"/>
    <mergeCell ref="G63:G64"/>
    <mergeCell ref="H63:H64"/>
    <mergeCell ref="N63:N64"/>
    <mergeCell ref="O63:O64"/>
    <mergeCell ref="C63:C64"/>
    <mergeCell ref="C65:C66"/>
    <mergeCell ref="A67:A68"/>
    <mergeCell ref="C67:C68"/>
    <mergeCell ref="H65:H66"/>
    <mergeCell ref="I65:I66"/>
    <mergeCell ref="J65:J66"/>
    <mergeCell ref="K65:K66"/>
    <mergeCell ref="N73:N74"/>
    <mergeCell ref="O73:O74"/>
    <mergeCell ref="N69:N70"/>
    <mergeCell ref="O69:O70"/>
    <mergeCell ref="L71:L72"/>
    <mergeCell ref="M71:M72"/>
    <mergeCell ref="N71:N72"/>
    <mergeCell ref="O71:O72"/>
    <mergeCell ref="H73:H74"/>
    <mergeCell ref="I77:I78"/>
    <mergeCell ref="J77:J78"/>
    <mergeCell ref="N67:N68"/>
    <mergeCell ref="O67:O68"/>
    <mergeCell ref="I73:I74"/>
    <mergeCell ref="J73:J74"/>
    <mergeCell ref="K73:K74"/>
    <mergeCell ref="L73:L74"/>
    <mergeCell ref="M73:M74"/>
    <mergeCell ref="A73:A74"/>
    <mergeCell ref="C73:C74"/>
    <mergeCell ref="D73:D74"/>
    <mergeCell ref="E73:E74"/>
    <mergeCell ref="F73:F74"/>
    <mergeCell ref="G73:G74"/>
    <mergeCell ref="K79:K80"/>
    <mergeCell ref="L79:L80"/>
    <mergeCell ref="M79:M80"/>
    <mergeCell ref="N79:N80"/>
    <mergeCell ref="O79:O80"/>
    <mergeCell ref="A77:A78"/>
    <mergeCell ref="D77:D78"/>
    <mergeCell ref="E77:E78"/>
    <mergeCell ref="F77:F78"/>
    <mergeCell ref="G77:G78"/>
    <mergeCell ref="C79:C80"/>
    <mergeCell ref="A82:A83"/>
    <mergeCell ref="C82:C83"/>
    <mergeCell ref="H79:H80"/>
    <mergeCell ref="I79:I80"/>
    <mergeCell ref="J79:J80"/>
    <mergeCell ref="A79:A80"/>
    <mergeCell ref="K77:K78"/>
    <mergeCell ref="L77:L78"/>
    <mergeCell ref="M77:M78"/>
    <mergeCell ref="N77:N78"/>
    <mergeCell ref="O77:O78"/>
    <mergeCell ref="C77:C78"/>
    <mergeCell ref="H77:H78"/>
    <mergeCell ref="M85:M86"/>
    <mergeCell ref="N85:N86"/>
    <mergeCell ref="O85:O86"/>
    <mergeCell ref="M87:M88"/>
    <mergeCell ref="N87:N88"/>
    <mergeCell ref="O87:O88"/>
    <mergeCell ref="K82:K83"/>
    <mergeCell ref="L82:L83"/>
    <mergeCell ref="M82:M83"/>
    <mergeCell ref="N82:N83"/>
    <mergeCell ref="O82:O83"/>
    <mergeCell ref="F87:F88"/>
    <mergeCell ref="G87:G88"/>
    <mergeCell ref="I85:I86"/>
    <mergeCell ref="J85:J86"/>
    <mergeCell ref="K85:K86"/>
    <mergeCell ref="J89:J90"/>
    <mergeCell ref="D87:D88"/>
    <mergeCell ref="E87:E88"/>
    <mergeCell ref="D89:D90"/>
    <mergeCell ref="E89:E90"/>
    <mergeCell ref="I82:I83"/>
    <mergeCell ref="J82:J83"/>
    <mergeCell ref="M91:M93"/>
    <mergeCell ref="N91:N93"/>
    <mergeCell ref="O91:O93"/>
    <mergeCell ref="E91:E93"/>
    <mergeCell ref="F91:F93"/>
    <mergeCell ref="G91:G93"/>
    <mergeCell ref="H91:H93"/>
    <mergeCell ref="I91:I93"/>
    <mergeCell ref="J91:J93"/>
    <mergeCell ref="K91:K93"/>
    <mergeCell ref="H82:H83"/>
    <mergeCell ref="A91:A93"/>
    <mergeCell ref="C91:C93"/>
    <mergeCell ref="D91:D93"/>
    <mergeCell ref="A107:B107"/>
    <mergeCell ref="L91:L93"/>
    <mergeCell ref="F89:F90"/>
    <mergeCell ref="G89:G90"/>
    <mergeCell ref="H89:H90"/>
    <mergeCell ref="I89:I90"/>
    <mergeCell ref="K89:K90"/>
    <mergeCell ref="L89:L90"/>
    <mergeCell ref="F79:F80"/>
    <mergeCell ref="G79:G80"/>
    <mergeCell ref="D79:D80"/>
    <mergeCell ref="E79:E80"/>
    <mergeCell ref="D82:D83"/>
    <mergeCell ref="E82:E83"/>
    <mergeCell ref="F82:F83"/>
    <mergeCell ref="G82:G83"/>
    <mergeCell ref="L87:L88"/>
    <mergeCell ref="A85:A86"/>
    <mergeCell ref="D85:D86"/>
    <mergeCell ref="E85:E86"/>
    <mergeCell ref="F85:F86"/>
    <mergeCell ref="G85:G86"/>
    <mergeCell ref="H85:H86"/>
    <mergeCell ref="A87:A88"/>
    <mergeCell ref="L85:L86"/>
    <mergeCell ref="N19:N20"/>
    <mergeCell ref="O19:O20"/>
    <mergeCell ref="C85:C86"/>
    <mergeCell ref="C87:C88"/>
    <mergeCell ref="A89:A90"/>
    <mergeCell ref="C89:C90"/>
    <mergeCell ref="H87:H88"/>
    <mergeCell ref="I87:I88"/>
    <mergeCell ref="J87:J88"/>
    <mergeCell ref="K87:K88"/>
    <mergeCell ref="H19:H20"/>
    <mergeCell ref="I19:I20"/>
    <mergeCell ref="J19:J20"/>
    <mergeCell ref="K19:K20"/>
    <mergeCell ref="L19:L20"/>
    <mergeCell ref="M19:M20"/>
    <mergeCell ref="O3:O4"/>
    <mergeCell ref="K7:K8"/>
    <mergeCell ref="L7:L8"/>
    <mergeCell ref="M7:M8"/>
    <mergeCell ref="N7:N8"/>
    <mergeCell ref="O7:O8"/>
    <mergeCell ref="M89:M90"/>
    <mergeCell ref="N89:N90"/>
    <mergeCell ref="O89:O90"/>
    <mergeCell ref="H3:H4"/>
    <mergeCell ref="I3:I4"/>
    <mergeCell ref="J3:J4"/>
    <mergeCell ref="K3:K4"/>
    <mergeCell ref="L3:L4"/>
    <mergeCell ref="M3:M4"/>
    <mergeCell ref="N3:N4"/>
    <mergeCell ref="M5:M6"/>
    <mergeCell ref="N5:N6"/>
    <mergeCell ref="O5:O6"/>
    <mergeCell ref="F5:F6"/>
    <mergeCell ref="G5:G6"/>
    <mergeCell ref="H5:H6"/>
    <mergeCell ref="I5:I6"/>
    <mergeCell ref="J5:J6"/>
    <mergeCell ref="K5:K6"/>
    <mergeCell ref="L5:L6"/>
    <mergeCell ref="A5:A6"/>
    <mergeCell ref="I7:I8"/>
    <mergeCell ref="J7:J8"/>
    <mergeCell ref="C3:C4"/>
    <mergeCell ref="C5:C6"/>
    <mergeCell ref="D5:D6"/>
    <mergeCell ref="E5:E6"/>
    <mergeCell ref="A1:B1"/>
    <mergeCell ref="A3:A4"/>
    <mergeCell ref="D3:D4"/>
    <mergeCell ref="E3:E4"/>
    <mergeCell ref="F3:F4"/>
    <mergeCell ref="G3:G4"/>
    <mergeCell ref="I29:I30"/>
    <mergeCell ref="N15:N16"/>
    <mergeCell ref="O15:O16"/>
    <mergeCell ref="G15:G16"/>
    <mergeCell ref="H15:H16"/>
    <mergeCell ref="I15:I16"/>
    <mergeCell ref="J15:J16"/>
    <mergeCell ref="K15:K16"/>
    <mergeCell ref="L15:L16"/>
    <mergeCell ref="M15:M16"/>
    <mergeCell ref="C29:C30"/>
    <mergeCell ref="D29:D30"/>
    <mergeCell ref="E29:E30"/>
    <mergeCell ref="F29:F30"/>
    <mergeCell ref="G29:G30"/>
    <mergeCell ref="H29:H30"/>
    <mergeCell ref="J29:J30"/>
    <mergeCell ref="K29:K30"/>
    <mergeCell ref="L29:L30"/>
    <mergeCell ref="M29:M30"/>
    <mergeCell ref="N29:N30"/>
    <mergeCell ref="O29:O30"/>
    <mergeCell ref="H41:H43"/>
    <mergeCell ref="I41:I43"/>
    <mergeCell ref="O26:O27"/>
    <mergeCell ref="C26:C27"/>
    <mergeCell ref="D26:D27"/>
    <mergeCell ref="E26:E27"/>
    <mergeCell ref="F26:F27"/>
    <mergeCell ref="G26:G27"/>
    <mergeCell ref="H26:H27"/>
    <mergeCell ref="I26:I27"/>
    <mergeCell ref="L69:L70"/>
    <mergeCell ref="M69:M70"/>
    <mergeCell ref="M41:M43"/>
    <mergeCell ref="N41:N43"/>
    <mergeCell ref="O41:O43"/>
    <mergeCell ref="C41:C43"/>
    <mergeCell ref="D41:D43"/>
    <mergeCell ref="E41:E43"/>
    <mergeCell ref="F41:F43"/>
    <mergeCell ref="G41:G43"/>
    <mergeCell ref="J71:J72"/>
    <mergeCell ref="F65:F66"/>
    <mergeCell ref="G65:G66"/>
    <mergeCell ref="F67:F68"/>
    <mergeCell ref="G67:G68"/>
    <mergeCell ref="H67:H68"/>
    <mergeCell ref="I67:I68"/>
    <mergeCell ref="J67:J68"/>
    <mergeCell ref="J69:J70"/>
    <mergeCell ref="K69:K70"/>
    <mergeCell ref="C69:C70"/>
    <mergeCell ref="C71:C72"/>
    <mergeCell ref="K71:K72"/>
    <mergeCell ref="D71:D72"/>
    <mergeCell ref="E71:E72"/>
    <mergeCell ref="F71:F72"/>
    <mergeCell ref="G71:G72"/>
    <mergeCell ref="H71:H72"/>
    <mergeCell ref="A71:A72"/>
    <mergeCell ref="E69:E70"/>
    <mergeCell ref="F69:F70"/>
    <mergeCell ref="G69:G70"/>
    <mergeCell ref="H69:H70"/>
    <mergeCell ref="I69:I70"/>
    <mergeCell ref="I71:I72"/>
    <mergeCell ref="D65:D66"/>
    <mergeCell ref="E65:E66"/>
    <mergeCell ref="D67:D68"/>
    <mergeCell ref="E67:E68"/>
    <mergeCell ref="A69:A70"/>
    <mergeCell ref="D69:D70"/>
    <mergeCell ref="A65:A66"/>
  </mergeCells>
  <conditionalFormatting sqref="D97">
    <cfRule type="cellIs" dxfId="13" priority="11" operator="equal">
      <formula>Q8</formula>
    </cfRule>
    <cfRule type="cellIs" dxfId="12" priority="12" operator="notEqual">
      <formula>Q8</formula>
    </cfRule>
  </conditionalFormatting>
  <conditionalFormatting sqref="F97">
    <cfRule type="cellIs" dxfId="11" priority="2" operator="notEqual">
      <formula>Q4</formula>
    </cfRule>
    <cfRule type="cellIs" dxfId="10" priority="5" operator="equal">
      <formula>Q4</formula>
    </cfRule>
  </conditionalFormatting>
  <conditionalFormatting sqref="G97">
    <cfRule type="cellIs" dxfId="9" priority="3" operator="notEqual">
      <formula>Q9</formula>
    </cfRule>
    <cfRule type="cellIs" dxfId="8" priority="4" operator="equal">
      <formula>Q9</formula>
    </cfRule>
  </conditionalFormatting>
  <conditionalFormatting sqref="H97">
    <cfRule type="cellIs" dxfId="7" priority="13" operator="equal">
      <formula>Q5</formula>
    </cfRule>
    <cfRule type="cellIs" dxfId="6" priority="14" operator="notEqual">
      <formula>"R5"</formula>
    </cfRule>
  </conditionalFormatting>
  <conditionalFormatting sqref="I97">
    <cfRule type="cellIs" dxfId="5" priority="6" operator="equal">
      <formula>Q6</formula>
    </cfRule>
    <cfRule type="cellIs" dxfId="4" priority="7" operator="notEqual">
      <formula>Q6</formula>
    </cfRule>
  </conditionalFormatting>
  <conditionalFormatting sqref="J97">
    <cfRule type="cellIs" dxfId="3" priority="8" operator="equal">
      <formula>Q7</formula>
    </cfRule>
    <cfRule type="cellIs" dxfId="2" priority="9" operator="notEqual">
      <formula>Q7</formula>
    </cfRule>
  </conditionalFormatting>
  <conditionalFormatting sqref="O3:O53 O55:O95">
    <cfRule type="cellIs" dxfId="1" priority="1" operator="greaterThan">
      <formula>520</formula>
    </cfRule>
  </conditionalFormatting>
  <conditionalFormatting sqref="T3:T52">
    <cfRule type="cellIs" dxfId="0" priority="10" operator="greaterThan">
      <formula>530</formula>
    </cfRule>
  </conditionalFormatting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Inventario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Verónica Jaramillo Osorio</dc:creator>
  <cp:lastModifiedBy>Verónica Jaramillo Osorio</cp:lastModifiedBy>
  <dcterms:created xsi:type="dcterms:W3CDTF">2026-03-18T15:43:00Z</dcterms:created>
  <dcterms:modified xsi:type="dcterms:W3CDTF">2026-03-18T15:44:13Z</dcterms:modified>
</cp:coreProperties>
</file>